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updateLinks="never" codeName="DieseArbeitsmappe"/>
  <mc:AlternateContent xmlns:mc="http://schemas.openxmlformats.org/markup-compatibility/2006">
    <mc:Choice Requires="x15">
      <x15ac:absPath xmlns:x15ac="http://schemas.microsoft.com/office/spreadsheetml/2010/11/ac" url="C:\Users\Home\Downloads\"/>
    </mc:Choice>
  </mc:AlternateContent>
  <xr:revisionPtr revIDLastSave="0" documentId="13_ncr:1_{846F76F3-35B2-4D02-8BC9-E5A5B9BECBD4}" xr6:coauthVersionLast="47" xr6:coauthVersionMax="47" xr10:uidLastSave="{00000000-0000-0000-0000-000000000000}"/>
  <bookViews>
    <workbookView xWindow="-108" yWindow="-108" windowWidth="23256" windowHeight="12456" tabRatio="679" xr2:uid="{00000000-000D-0000-FFFF-FFFF00000000}"/>
  </bookViews>
  <sheets>
    <sheet name="Status_primary" sheetId="1" r:id="rId1"/>
  </sheets>
  <definedNames>
    <definedName name="_xlnm._FilterDatabase" localSheetId="0" hidden="1">Status_primary!$A$1:$J$5</definedName>
    <definedName name="initial">#REF!</definedName>
    <definedName name="_xlnm.Print_Area" localSheetId="0">Status_primary!$A$1:$CM$16</definedName>
    <definedName name="statusTab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W6" i="1" l="1"/>
  <c r="BV6" i="1"/>
  <c r="BU6" i="1"/>
  <c r="AS6" i="1"/>
  <c r="AT7" i="1"/>
  <c r="AT8" i="1"/>
  <c r="AT9" i="1"/>
  <c r="AT10" i="1"/>
  <c r="AT11" i="1"/>
  <c r="AT12" i="1"/>
  <c r="AT13" i="1"/>
  <c r="AT14" i="1"/>
  <c r="AT6" i="1"/>
  <c r="BW8" i="1"/>
  <c r="BW9" i="1"/>
  <c r="BW10" i="1"/>
  <c r="BW11" i="1"/>
  <c r="BW12" i="1"/>
  <c r="BW13" i="1"/>
  <c r="BW14" i="1"/>
  <c r="BW7" i="1"/>
  <c r="AR9" i="1"/>
  <c r="AS9" i="1"/>
  <c r="BV16" i="1" l="1"/>
  <c r="CD6" i="1" l="1"/>
  <c r="CE6" i="1"/>
  <c r="CJ6" i="1"/>
  <c r="CM16" i="1" l="1"/>
  <c r="CL16" i="1"/>
  <c r="BJ16" i="1"/>
  <c r="BI16" i="1"/>
  <c r="BW16" i="1" l="1"/>
  <c r="AT16" i="1"/>
  <c r="AS16" i="1"/>
  <c r="AF16" i="1" l="1"/>
  <c r="AE16" i="1"/>
  <c r="X8" i="1"/>
  <c r="X9" i="1"/>
  <c r="X10" i="1"/>
  <c r="X11" i="1"/>
  <c r="X12" i="1"/>
  <c r="X13" i="1"/>
  <c r="X14" i="1"/>
  <c r="U7" i="1"/>
  <c r="X7" i="1" l="1"/>
  <c r="Y16" i="1" l="1"/>
  <c r="U6" i="1"/>
  <c r="U8" i="1"/>
  <c r="U9" i="1"/>
  <c r="U14" i="1"/>
  <c r="Q16" i="1"/>
  <c r="P16" i="1"/>
  <c r="J16" i="1"/>
  <c r="I16" i="1"/>
  <c r="X6" i="1" l="1"/>
  <c r="X16" i="1"/>
  <c r="U10" i="1" l="1"/>
  <c r="U11" i="1"/>
  <c r="U12" i="1"/>
  <c r="U13" i="1"/>
  <c r="Y13" i="1" l="1"/>
  <c r="CJ13" i="1"/>
  <c r="BU13" i="1"/>
  <c r="BG13" i="1"/>
  <c r="AR13" i="1"/>
  <c r="CK13" i="1"/>
  <c r="BH13" i="1"/>
  <c r="BI13" i="1" l="1"/>
  <c r="BA13" i="1"/>
  <c r="BB13" i="1"/>
  <c r="BJ13" i="1"/>
  <c r="BP13" i="1"/>
  <c r="BQ13" i="1"/>
  <c r="CD13" i="1"/>
  <c r="CE13" i="1"/>
  <c r="BV13" i="1"/>
  <c r="CL13" i="1"/>
  <c r="CM13" i="1"/>
  <c r="Y14" i="1" l="1"/>
  <c r="Y12" i="1"/>
  <c r="Y11" i="1"/>
  <c r="Y10" i="1"/>
  <c r="Y9" i="1"/>
  <c r="Y8" i="1"/>
  <c r="Y7" i="1"/>
  <c r="Y6" i="1"/>
  <c r="K2" i="1" l="1"/>
  <c r="CM8" i="1" l="1"/>
  <c r="CL8" i="1"/>
  <c r="CK8" i="1"/>
  <c r="CJ8" i="1"/>
  <c r="CE8" i="1"/>
  <c r="CD8" i="1"/>
  <c r="BV8" i="1"/>
  <c r="BU8" i="1"/>
  <c r="BQ8" i="1"/>
  <c r="BP8" i="1"/>
  <c r="BJ8" i="1"/>
  <c r="BI8" i="1"/>
  <c r="BH8" i="1"/>
  <c r="BG8" i="1"/>
  <c r="BB8" i="1"/>
  <c r="BA8" i="1"/>
  <c r="AS8" i="1"/>
  <c r="AR8" i="1"/>
  <c r="AN8" i="1"/>
  <c r="AM8" i="1"/>
  <c r="AF8" i="1"/>
  <c r="AE8" i="1"/>
  <c r="Q8" i="1"/>
  <c r="P8" i="1"/>
  <c r="J8" i="1"/>
  <c r="I8" i="1"/>
  <c r="CM11" i="1" l="1"/>
  <c r="CL11" i="1"/>
  <c r="CK11" i="1"/>
  <c r="CJ11" i="1"/>
  <c r="CE11" i="1"/>
  <c r="CD11" i="1"/>
  <c r="BV11" i="1"/>
  <c r="BU11" i="1"/>
  <c r="BQ11" i="1"/>
  <c r="BP11" i="1"/>
  <c r="BJ11" i="1"/>
  <c r="BI11" i="1"/>
  <c r="BH11" i="1"/>
  <c r="BG11" i="1"/>
  <c r="BB11" i="1"/>
  <c r="BA11" i="1"/>
  <c r="AS11" i="1"/>
  <c r="AR11" i="1"/>
  <c r="AN11" i="1"/>
  <c r="AM11" i="1"/>
  <c r="AF11" i="1"/>
  <c r="AE11" i="1"/>
  <c r="Q11" i="1"/>
  <c r="P11" i="1"/>
  <c r="J11" i="1"/>
  <c r="I11" i="1"/>
  <c r="BP7" i="1" l="1"/>
  <c r="BQ7" i="1"/>
  <c r="BU7" i="1"/>
  <c r="BV7" i="1"/>
  <c r="BP9" i="1"/>
  <c r="BQ9" i="1"/>
  <c r="BU9" i="1"/>
  <c r="BV9" i="1"/>
  <c r="BP10" i="1"/>
  <c r="BQ10" i="1"/>
  <c r="BU10" i="1"/>
  <c r="BV10" i="1"/>
  <c r="BP12" i="1"/>
  <c r="BQ12" i="1"/>
  <c r="BU12" i="1"/>
  <c r="BV12" i="1"/>
  <c r="BP14" i="1"/>
  <c r="BQ14" i="1"/>
  <c r="BU14" i="1"/>
  <c r="BV14" i="1"/>
  <c r="AM7" i="1"/>
  <c r="AN7" i="1"/>
  <c r="AR7" i="1"/>
  <c r="AS7" i="1"/>
  <c r="AM9" i="1"/>
  <c r="AN9" i="1"/>
  <c r="AM10" i="1"/>
  <c r="AN10" i="1"/>
  <c r="AR10" i="1"/>
  <c r="AS10" i="1"/>
  <c r="AM12" i="1"/>
  <c r="AN12" i="1"/>
  <c r="AR12" i="1"/>
  <c r="AS12" i="1"/>
  <c r="AM13" i="1"/>
  <c r="AN13" i="1"/>
  <c r="AS13" i="1"/>
  <c r="AM14" i="1"/>
  <c r="AN14" i="1"/>
  <c r="AR14" i="1"/>
  <c r="AS14" i="1"/>
  <c r="AF13" i="1" l="1"/>
  <c r="AE13" i="1"/>
  <c r="Q13" i="1"/>
  <c r="P13" i="1"/>
  <c r="J13" i="1"/>
  <c r="I13" i="1"/>
  <c r="CM12" i="1"/>
  <c r="CL12" i="1"/>
  <c r="CK12" i="1"/>
  <c r="CJ12" i="1"/>
  <c r="CE12" i="1"/>
  <c r="CD12" i="1"/>
  <c r="BJ12" i="1"/>
  <c r="BI12" i="1"/>
  <c r="BH12" i="1"/>
  <c r="BG12" i="1"/>
  <c r="BB12" i="1"/>
  <c r="BA12" i="1"/>
  <c r="AF12" i="1"/>
  <c r="AE12" i="1"/>
  <c r="Q12" i="1"/>
  <c r="P12" i="1"/>
  <c r="J12" i="1"/>
  <c r="I12" i="1"/>
  <c r="CM10" i="1"/>
  <c r="CL10" i="1"/>
  <c r="CK10" i="1"/>
  <c r="CJ10" i="1"/>
  <c r="CE10" i="1"/>
  <c r="CD10" i="1"/>
  <c r="BJ10" i="1"/>
  <c r="BI10" i="1"/>
  <c r="BH10" i="1"/>
  <c r="BG10" i="1"/>
  <c r="BB10" i="1"/>
  <c r="BA10" i="1"/>
  <c r="AF10" i="1"/>
  <c r="AE10" i="1"/>
  <c r="Q10" i="1"/>
  <c r="P10" i="1"/>
  <c r="J10" i="1"/>
  <c r="I10" i="1"/>
  <c r="A6" i="1" l="1"/>
  <c r="CL6" i="1" l="1"/>
  <c r="I9" i="1" l="1"/>
  <c r="J9" i="1"/>
  <c r="P9" i="1"/>
  <c r="Q9" i="1"/>
  <c r="AE9" i="1"/>
  <c r="AF9" i="1"/>
  <c r="BA9" i="1"/>
  <c r="BB9" i="1"/>
  <c r="BG9" i="1"/>
  <c r="BH9" i="1"/>
  <c r="BI9" i="1"/>
  <c r="BJ9" i="1"/>
  <c r="CD9" i="1"/>
  <c r="CE9" i="1"/>
  <c r="CJ9" i="1"/>
  <c r="CK9" i="1"/>
  <c r="CL9" i="1"/>
  <c r="CM9" i="1"/>
  <c r="AR6" i="1" l="1"/>
  <c r="BQ6" i="1" l="1"/>
  <c r="BP6" i="1"/>
  <c r="CE7" i="1"/>
  <c r="CD7" i="1"/>
  <c r="BA7" i="1"/>
  <c r="BA6" i="1"/>
  <c r="AM6" i="1"/>
  <c r="AN6" i="1"/>
  <c r="BB7" i="1"/>
  <c r="BB6" i="1"/>
  <c r="CM7" i="1" l="1"/>
  <c r="CM6" i="1"/>
  <c r="BJ7" i="1"/>
  <c r="BJ6" i="1"/>
  <c r="BI6" i="1" l="1"/>
  <c r="BH6" i="1"/>
  <c r="CL7" i="1"/>
  <c r="CJ7" i="1"/>
  <c r="BG6" i="1"/>
  <c r="BI7" i="1"/>
  <c r="BG7" i="1" l="1"/>
  <c r="CK7" i="1" l="1"/>
  <c r="CK6" i="1"/>
  <c r="BY3" i="1"/>
  <c r="BK3" i="1"/>
  <c r="BY2" i="1"/>
  <c r="BK2" i="1"/>
  <c r="BH7" i="1" l="1"/>
  <c r="AF7" i="1" l="1"/>
  <c r="AE7" i="1"/>
  <c r="AF6" i="1"/>
  <c r="AE6" i="1"/>
  <c r="Q7" i="1"/>
  <c r="P7" i="1"/>
  <c r="Q6" i="1"/>
  <c r="P6" i="1"/>
  <c r="I7" i="1"/>
  <c r="J7" i="1"/>
  <c r="J6" i="1"/>
  <c r="I6" i="1"/>
  <c r="AV3" i="1" l="1"/>
  <c r="AV2" i="1"/>
  <c r="AH3" i="1"/>
  <c r="AH2" i="1"/>
  <c r="Z3" i="1"/>
  <c r="Z2" i="1"/>
  <c r="S3" i="1"/>
  <c r="S2" i="1"/>
  <c r="K3" i="1"/>
  <c r="C3" i="1"/>
  <c r="CM14" i="1" l="1"/>
  <c r="CL14" i="1"/>
  <c r="CK14" i="1"/>
  <c r="CJ14" i="1"/>
  <c r="CE14" i="1"/>
  <c r="CD14" i="1"/>
  <c r="BJ14" i="1"/>
  <c r="BI14" i="1"/>
  <c r="BH14" i="1"/>
  <c r="BG14" i="1"/>
  <c r="BB14" i="1"/>
  <c r="BA14" i="1"/>
  <c r="AF14" i="1"/>
  <c r="AE14" i="1"/>
  <c r="Q14" i="1"/>
  <c r="P14" i="1"/>
  <c r="J14" i="1"/>
  <c r="I1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Bachmann, Jan (EFS-GR5)</author>
    <author>Fechter, Nicolas Bastian (G4-37)</author>
  </authors>
  <commentList>
    <comment ref="C5" authorId="0" shapeId="0" xr:uid="{E858AE37-F5D4-4CA6-A87A-A8C2E22238C4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Checkpoint after execution of the test activity (Checkpoint label and revision)
or
Name and revision of the responsible Review protocol/Test artefact.
Checkpoint level:
(Project /SWC_&lt;PROJECT&gt;/01_PROD/40_T/T_&lt;PROJECT&gt;_&lt;BLOCK&gt;_&lt;MODULE&gt;) </t>
        </r>
      </text>
    </comment>
    <comment ref="D5" authorId="0" shapeId="0" xr:uid="{00000000-0006-0000-0400-000002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Review method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1. Test order
2. Review Checklist 
Member/SWC_&lt;PROJECT&gt;/01_PROD/40_T/T_&lt;PROJECT&gt;_&lt;BLOCK&gt;_&lt;MODULE&gt;/40_T/20_STAT/10_RP/RP_SWRS_IN__&lt;PROJECT&gt;&gt;_&lt;BLOCK&gt;_&lt;MODULE&gt;.zip 
or KickOff protocol </t>
        </r>
      </text>
    </comment>
    <comment ref="E5" authorId="0" shapeId="0" xr:uid="{00000000-0006-0000-0400-000003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requirements
</t>
        </r>
        <r>
          <rPr>
            <b/>
            <i/>
            <sz val="9"/>
            <color indexed="81"/>
            <rFont val="Segoe UI"/>
            <family val="2"/>
          </rPr>
          <t xml:space="preserve">Where to find?
</t>
        </r>
        <r>
          <rPr>
            <sz val="9"/>
            <color indexed="81"/>
            <rFont val="Segoe UI"/>
            <family val="2"/>
          </rPr>
          <t>SWRS document (PTC integrity) items in 
Req Status "EF_finished" and Review Status "Draft" or  "Informal", "Walk-through", "Inspection"</t>
        </r>
      </text>
    </comment>
    <comment ref="F5" authorId="0" shapeId="0" xr:uid="{00000000-0006-0000-0400-000004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open requirements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1. Informal
Test order
2. Walk-through/inspection:
</t>
        </r>
        <r>
          <rPr>
            <i/>
            <sz val="9"/>
            <color indexed="81"/>
            <rFont val="Segoe UI"/>
            <family val="2"/>
          </rPr>
          <t>Review Checklist</t>
        </r>
      </text>
    </comment>
    <comment ref="G5" authorId="0" shapeId="0" xr:uid="{00000000-0006-0000-0400-000005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</t>
        </r>
        <r>
          <rPr>
            <i/>
            <sz val="9"/>
            <color indexed="81"/>
            <rFont val="Segoe UI"/>
            <family val="2"/>
          </rPr>
          <t xml:space="preserve"> </t>
        </r>
        <r>
          <rPr>
            <sz val="9"/>
            <color indexed="81"/>
            <rFont val="Segoe UI"/>
            <family val="2"/>
          </rPr>
          <t xml:space="preserve">failed requirements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1. Informal
Test order
2. Walk-through/inspection:
</t>
        </r>
        <r>
          <rPr>
            <i/>
            <sz val="9"/>
            <color indexed="81"/>
            <rFont val="Segoe UI"/>
            <family val="2"/>
          </rPr>
          <t>Review Checklist</t>
        </r>
      </text>
    </comment>
    <comment ref="H5" authorId="1" shapeId="0" xr:uid="{91CDA27E-BE14-42FD-AD2B-8A6ECD9DE678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b/>
            <sz val="9"/>
            <color indexed="81"/>
            <rFont val="Segoe UI"/>
            <family val="2"/>
          </rPr>
          <t xml:space="preserve">
# </t>
        </r>
        <r>
          <rPr>
            <sz val="9"/>
            <color indexed="81"/>
            <rFont val="Segoe UI"/>
            <family val="2"/>
          </rPr>
          <t xml:space="preserve">Number of test items evaluated as "Passed with minor finding"
</t>
        </r>
      </text>
    </comment>
    <comment ref="K5" authorId="0" shapeId="0" xr:uid="{AB216E86-8B25-4ED8-BB2E-67174002185A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Checkpoint after execution of the test activity (Checkpoint label and revision)
or
Name and revision of the responsible Review protocol/Test artefact.
Checkpoint level:
(Project /SWC_&lt;PROJECT&gt;/01_PROD/40_T/T_&lt;PROJECT&gt;_&lt;BLOCK&gt;_&lt;MODULE&gt;) </t>
        </r>
      </text>
    </comment>
    <comment ref="L5" authorId="0" shapeId="0" xr:uid="{00000000-0006-0000-0400-000007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Review method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Review Checklist 
Member /SWC_&lt;PROJECT&gt;/01_PROD/40_T/T_&lt;PROJECT&gt;_&lt;BLOCK&gt;_&lt;MODULE&gt;/40_T/10_TS/TS_SWC_&lt;PROJECT&gt;_&lt;BLOCK&gt;_&lt;MODULE&gt;.xlsm
</t>
        </r>
      </text>
    </comment>
    <comment ref="M5" authorId="0" shapeId="0" xr:uid="{00000000-0006-0000-0400-000008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Export of the test specification
Member /SWC_&lt;PROJECT&gt;/01_PROD/40_T/T_&lt;PROJECT&gt;_&lt;BLOCK&gt;_&lt;MODULE&gt;/40_T/10_TS/TS_SWC_&lt;PROJECT&gt;_&lt;BLOCK&gt;_&lt;MODULE&gt;.xlsm</t>
        </r>
      </text>
    </comment>
    <comment ref="N5" authorId="0" shapeId="0" xr:uid="{00000000-0006-0000-0400-000009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open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Review Checklist</t>
        </r>
      </text>
    </comment>
    <comment ref="O5" authorId="0" shapeId="0" xr:uid="{00000000-0006-0000-0400-00000A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failed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Review Checklist</t>
        </r>
      </text>
    </comment>
    <comment ref="S5" authorId="0" shapeId="0" xr:uid="{1D32FA1E-2C57-4826-A0FB-EC894D193157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Checkpoint after execution of the test activity (Checkpoint label and revision)
or
Name and revision of the responsible Review protocol/Test artefact.
Checkpoint level:
(Project /SWC_&lt;PROJECT&gt;/01_PROD/40_T/T_&lt;PROJECT&gt;_&lt;BLOCK&gt;_&lt;MODULE&gt;) </t>
        </r>
      </text>
    </comment>
    <comment ref="T5" authorId="0" shapeId="0" xr:uid="{00000000-0006-0000-0400-00000D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checks: Sum over all “Total Check Compliance”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MXAM Report
Member /SWC__&lt;PROJECT&gt;/ 01_PROD/30_CG/CG_&lt;PROJECT&gt;_&lt;BLOCK&gt;_&lt;MODULE&gt;/30_T/20_MGC/10_FE/FE_&lt;PROJECT&gt;_&lt;BLOCK&gt;_&lt;MODULE&gt;.pdf</t>
        </r>
      </text>
    </comment>
    <comment ref="V5" authorId="0" shapeId="0" xr:uid="{00000000-0006-0000-0400-00000E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Aborted, failed tests and warnings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MXAM Report
Member /SWC__&lt;PROJECT&gt;/ 01_PROD/30_CG/CG_&lt;PROJECT&gt;_&lt;BLOCK&gt;_&lt;MODULE&gt;/30_T/20_MGC/10_FE/FE_&lt;PROJECT&gt;_&lt;BLOCK&gt;_&lt;MODULE&gt;.pdf</t>
        </r>
      </text>
    </comment>
    <comment ref="W5" authorId="0" shapeId="0" xr:uid="{33E2E120-03B3-4DF1-8E39-AABE5EF13AF3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Review
</t>
        </r>
        <r>
          <rPr>
            <b/>
            <i/>
            <sz val="9"/>
            <color indexed="81"/>
            <rFont val="Segoe UI"/>
            <family val="2"/>
          </rPr>
          <t xml:space="preserve">
Where to find?</t>
        </r>
        <r>
          <rPr>
            <sz val="9"/>
            <color indexed="81"/>
            <rFont val="Segoe UI"/>
            <family val="2"/>
          </rPr>
          <t xml:space="preserve">
MXAM Report
Member /SWC__&lt;PROJECT&gt;/ 01_PROD/30_CG/CG_&lt;PROJECT&gt;_&lt;BLOCK&gt;_&lt;MODULE&gt;/30_T/20_MGC/10_FE/FE_&lt;PROJECT&gt;_&lt;BLOCK&gt;_&lt;MODULE&gt;.pdf</t>
        </r>
      </text>
    </comment>
    <comment ref="Z5" authorId="0" shapeId="0" xr:uid="{1C3C1C4D-5628-4CAB-8A8B-337F44A7AE05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Checkpoint after execution of the test activity (Checkpoint label and revision)
or
Name and revision of the responsible Review protocol/Test artefact.
Checkpoint level:
(Project /SWC_&lt;PROJECT&gt;/01_PROD/40_T/T_&lt;PROJECT&gt;_&lt;BLOCK&gt;_&lt;MODULE&gt;) </t>
        </r>
      </text>
    </comment>
    <comment ref="AA5" authorId="0" shapeId="0" xr:uid="{D8142768-527C-4268-B6D0-42DBE89A3CF3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Review method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Review Checklist 
Member /SWC_&lt;PROJECT&gt;//01_PROD/40_T/T_&lt;PROJECT&gt;_&lt;BLOCK&gt;_&lt;MODULE&gt;/40_T/20_STAT/10_RP/RP_TI_TPT_&lt;PROJECT&gt;_&lt;BLOCK&gt;_&lt;MODULE&gt;.xlsm</t>
        </r>
      </text>
    </comment>
    <comment ref="AB5" authorId="0" shapeId="0" xr:uid="{00000000-0006-0000-0400-000030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test cases
</t>
        </r>
        <r>
          <rPr>
            <b/>
            <i/>
            <sz val="9"/>
            <color indexed="81"/>
            <rFont val="Segoe UI"/>
            <family val="2"/>
          </rPr>
          <t xml:space="preserve">
Where to find?</t>
        </r>
        <r>
          <rPr>
            <sz val="9"/>
            <color indexed="81"/>
            <rFont val="Segoe UI"/>
            <family val="2"/>
          </rPr>
          <t xml:space="preserve">
Review Checklist 
Member /SWC_&lt;PROJECT&gt;//01_PROD/40_T/T_&lt;PROJECT&gt;_&lt;BLOCK&gt;_&lt;MODULE&gt;/40_T/20_STAT/10_RP/RP_TI_TPT_&lt;PROJECT&gt;_&lt;BLOCK&gt;_&lt;MODULE&gt;.xlsm</t>
        </r>
      </text>
    </comment>
    <comment ref="AC5" authorId="0" shapeId="0" xr:uid="{00000000-0006-0000-0400-000031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open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Review Checklist</t>
        </r>
        <r>
          <rPr>
            <i/>
            <sz val="9"/>
            <color indexed="81"/>
            <rFont val="Segoe UI"/>
            <family val="2"/>
          </rPr>
          <t xml:space="preserve"> </t>
        </r>
        <r>
          <rPr>
            <sz val="9"/>
            <color indexed="81"/>
            <rFont val="Segoe UI"/>
            <family val="2"/>
          </rPr>
          <t xml:space="preserve">
Member /SWC_&lt;PROJECT&gt;//01_PROD/40_T/T_&lt;PROJECT&gt;_&lt;BLOCK&gt;_&lt;MODULE&gt;/40_T/20_STAT/10_RP/RP_TI_TPT_&lt;PROJECT&gt;_&lt;BLOCK&gt;_&lt;MODULE&gt;.xlsm</t>
        </r>
      </text>
    </comment>
    <comment ref="AD5" authorId="0" shapeId="0" xr:uid="{00000000-0006-0000-0400-000032000000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failed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Review Checklist 
Member /SWC_&lt;PROJECT&gt;//01_PROD/40_T/T_&lt;PROJECT&gt;_&lt;BLOCK&gt;_&lt;MODULE&gt;/40_T/20_STAT/10_RP/RP_TI_TPT_&lt;PROJECT&gt;_&lt;BLOCK&gt;_&lt;MODULE&gt;.xlsm</t>
        </r>
      </text>
    </comment>
    <comment ref="AH5" authorId="0" shapeId="0" xr:uid="{77E9E587-4B53-457F-A15F-C772E998127E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Checkpoint after execution of the test activity (Checkpoint label and revision)
or
Name and revision of the responsible Review protocol/Test artefact.
Checkpoint level:
(Project /SWC_&lt;PROJECT&gt;/01_PROD/40_T/T_&lt;PROJECT&gt;_&lt;BLOCK&gt;_&lt;MODULE&gt;) </t>
        </r>
      </text>
    </comment>
    <comment ref="AI5" authorId="0" shapeId="0" xr:uid="{6FE6437D-1F3E-463C-8E05-E9148A71DDAC}">
      <text>
        <r>
          <rPr>
            <b/>
            <i/>
            <sz val="9"/>
            <color indexed="81"/>
            <rFont val="Segoe UI"/>
            <family val="2"/>
          </rPr>
          <t xml:space="preserve">What to fill in?
</t>
        </r>
        <r>
          <rPr>
            <sz val="9"/>
            <color indexed="81"/>
            <rFont val="Segoe UI"/>
            <family val="2"/>
          </rPr>
          <t xml:space="preserve">Execution time of test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Tester information (Time stamp of the execution files)</t>
        </r>
      </text>
    </comment>
    <comment ref="AJ5" authorId="0" shapeId="0" xr:uid="{829B31FB-D67B-40A0-B9BC-B4611485C3BF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AK5" authorId="0" shapeId="0" xr:uid="{392AC887-4B1D-44A5-9C01-C07282F12C57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open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AL5" authorId="0" shapeId="0" xr:uid="{277DD6E4-A5D6-4A00-9B97-CF42F9BB1924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failed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AO5" authorId="0" shapeId="0" xr:uid="{855481D7-DDBC-4F19-8BBF-A90E61A50211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valid requirements for testing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AP5" authorId="0" shapeId="0" xr:uid="{A7809165-7A97-4B28-A7A4-122BEC5B976C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failed requirements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AQ5" authorId="0" shapeId="0" xr:uid="{6FBF0D3F-A0EC-4458-8C15-98BDD245DC6B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all tested requirements ( # Req. - # Req. not coverable - # Open req.)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AV5" authorId="0" shapeId="0" xr:uid="{8AF138B3-CE20-4CCE-8BA9-992E1E8B8DA1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Checkpoint after execution of the test activity (Checkpoint label and revision)
or
Name and revision of the responsible Review protocol/Test artefact.
Checkpoint level:
(Project /SWC_&lt;PROJECT&gt;/01_PROD/40_T/T_&lt;PROJECT&gt;_&lt;BLOCK&gt;_&lt;MODULE&gt;) </t>
        </r>
      </text>
    </comment>
    <comment ref="AW5" authorId="0" shapeId="0" xr:uid="{EFF1AFD8-E322-41E7-86A2-601FDA3A8C84}">
      <text>
        <r>
          <rPr>
            <b/>
            <i/>
            <sz val="9"/>
            <color indexed="81"/>
            <rFont val="Segoe UI"/>
            <family val="2"/>
          </rPr>
          <t xml:space="preserve">What to fill in?
</t>
        </r>
        <r>
          <rPr>
            <sz val="9"/>
            <color indexed="81"/>
            <rFont val="Segoe UI"/>
            <family val="2"/>
          </rPr>
          <t xml:space="preserve">Execution time of test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Tester information (Time stamp of the execution files)</t>
        </r>
      </text>
    </comment>
    <comment ref="AX5" authorId="0" shapeId="0" xr:uid="{BB3690C2-D234-4C33-AE4D-D5F851654AB6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AY5" authorId="0" shapeId="0" xr:uid="{7AF1A534-760A-4EE3-BBB5-4CCED4017A68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open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AZ5" authorId="0" shapeId="0" xr:uid="{B656F82E-E9CB-4CDA-9DF5-75B135D3CF2C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failed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BC5" authorId="0" shapeId="0" xr:uid="{D9012FB1-32D9-4CDA-9867-60960F66373A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valid requirements for testing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BD5" authorId="0" shapeId="0" xr:uid="{21AE9C25-9D59-4A29-AAC4-7140C9B25758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failed requirements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BE5" authorId="0" shapeId="0" xr:uid="{483D725D-CA4E-424F-980D-009497BCE165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all tested requirements ( # Req. - # Req. not coverable - # Open req.)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BF5" authorId="0" shapeId="0" xr:uid="{205A9A28-FFBE-4C98-B369-47E6DBC3CBF6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not properly covered requirements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BK5" authorId="0" shapeId="0" xr:uid="{2EA5F789-2718-4A9F-80FD-C04D49773F3E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Checkpoint after execution of the test activity (Checkpoint label and revision)
or
Name and revision of the responsible Review protocol/Test artefact.
Checkpoint level:
(Project /SWC_&lt;PROJECT&gt;/01_PROD/40_T/T_&lt;PROJECT&gt;_&lt;BLOCK&gt;_&lt;MODULE&gt;) </t>
        </r>
      </text>
    </comment>
    <comment ref="BL5" authorId="0" shapeId="0" xr:uid="{0AADBE42-34F9-43D8-B03C-283D0FA32684}">
      <text>
        <r>
          <rPr>
            <b/>
            <i/>
            <sz val="9"/>
            <color indexed="81"/>
            <rFont val="Segoe UI"/>
            <family val="2"/>
          </rPr>
          <t xml:space="preserve">What to fill in?
</t>
        </r>
        <r>
          <rPr>
            <sz val="9"/>
            <color indexed="81"/>
            <rFont val="Segoe UI"/>
            <family val="2"/>
          </rPr>
          <t xml:space="preserve">Execution time of test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Tester information (Time stamp of the execution files)</t>
        </r>
      </text>
    </comment>
    <comment ref="BM5" authorId="0" shapeId="0" xr:uid="{66AC792A-59A4-4824-82D6-36E5BA2C36C2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BN5" authorId="0" shapeId="0" xr:uid="{C1B865E2-6A02-4C9F-8C7A-79DB11FACC3D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open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BO5" authorId="0" shapeId="0" xr:uid="{BCE184DA-6208-4A19-84F7-7583813F75FD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failed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BR5" authorId="0" shapeId="0" xr:uid="{4BE2C21B-9DA4-401E-A394-8DBBF3C33AFF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valid requirements for testing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BS5" authorId="0" shapeId="0" xr:uid="{E95C22BB-279B-4BCA-9299-810D055DE366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failed requirements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BT5" authorId="0" shapeId="0" xr:uid="{A25B3527-6516-4F02-9E58-38A160D5F62E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all tested requirements ( # Req. - # Req. not coverable - # Open req.)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BY5" authorId="0" shapeId="0" xr:uid="{7CB6E803-E138-4E96-9F5F-0E366B75A0D5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Checkpoint after execution of the test activity (Checkpoint label and revision)
or
Name and revision of the responsible Review protocol/Test artefact.
Checkpoint level:
(Project /SWC_&lt;PROJECT&gt;/01_PROD/40_T/T_&lt;PROJECT&gt;_&lt;BLOCK&gt;_&lt;MODULE&gt;) </t>
        </r>
      </text>
    </comment>
    <comment ref="BZ5" authorId="0" shapeId="0" xr:uid="{1A73AAE4-216D-4434-836F-CF61CC9F13DE}">
      <text>
        <r>
          <rPr>
            <b/>
            <i/>
            <sz val="9"/>
            <color indexed="81"/>
            <rFont val="Segoe UI"/>
            <family val="2"/>
          </rPr>
          <t xml:space="preserve">What to fill in?
</t>
        </r>
        <r>
          <rPr>
            <sz val="9"/>
            <color indexed="81"/>
            <rFont val="Segoe UI"/>
            <family val="2"/>
          </rPr>
          <t xml:space="preserve">Execution time of test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Tester information (Time stamp of the execution files)</t>
        </r>
      </text>
    </comment>
    <comment ref="CA5" authorId="0" shapeId="0" xr:uid="{61AD8275-CB32-4469-959F-85182C993EB2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CB5" authorId="0" shapeId="0" xr:uid="{FA074FFF-3A84-40EE-8E52-B65A1D6E6D47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open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CC5" authorId="0" shapeId="0" xr:uid="{76AE5503-9411-4DCD-9DDD-8D6723DD52C6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failed test cases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CF5" authorId="0" shapeId="0" xr:uid="{1AA41E69-5010-4740-BBC0-5F3684ABC51D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valid requirements for testing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CG5" authorId="0" shapeId="0" xr:uid="{7AF2228C-58A3-4010-B52D-45A88E4D60FB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failed requirements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CH5" authorId="0" shapeId="0" xr:uid="{EB44D580-247B-47A7-BEF2-DD26A02E349B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all tested requirements ( # Req. - # Req. not coverable - # Open req.)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  <comment ref="CI5" authorId="0" shapeId="0" xr:uid="{DC4E202B-9B03-47AE-BF01-9491AEB3F2C1}">
      <text>
        <r>
          <rPr>
            <b/>
            <i/>
            <sz val="9"/>
            <color indexed="81"/>
            <rFont val="Segoe UI"/>
            <family val="2"/>
          </rPr>
          <t>What to fill in?</t>
        </r>
        <r>
          <rPr>
            <sz val="9"/>
            <color indexed="81"/>
            <rFont val="Segoe UI"/>
            <family val="2"/>
          </rPr>
          <t xml:space="preserve">
# Number of not properly covered requirements
</t>
        </r>
        <r>
          <rPr>
            <b/>
            <i/>
            <sz val="9"/>
            <color indexed="81"/>
            <rFont val="Segoe UI"/>
            <family val="2"/>
          </rPr>
          <t>Where to find?</t>
        </r>
        <r>
          <rPr>
            <sz val="9"/>
            <color indexed="81"/>
            <rFont val="Segoe UI"/>
            <family val="2"/>
          </rPr>
          <t xml:space="preserve">
BBT Report 
Member /SWC_&lt;PROJECT&gt;/01_PROD/40_T/T_&lt;PROJECT&gt;_&lt;BLOCK&gt;_&lt;MODULE&gt;/40_T/30_DYN/30_TR/01_Report/BBT_Report.zip</t>
        </r>
      </text>
    </comment>
  </commentList>
</comments>
</file>

<file path=xl/sharedStrings.xml><?xml version="1.0" encoding="utf-8"?>
<sst xmlns="http://schemas.openxmlformats.org/spreadsheetml/2006/main" count="145" uniqueCount="48">
  <si>
    <t>Test level</t>
  </si>
  <si>
    <t>Module</t>
  </si>
  <si>
    <t>ASW 9</t>
  </si>
  <si>
    <t>Status</t>
  </si>
  <si>
    <t>finished</t>
  </si>
  <si>
    <t>&lt;Module 1.1&gt;</t>
  </si>
  <si>
    <t>&lt;Module 1.2&gt;</t>
  </si>
  <si>
    <t>&lt;Module 1.3&gt;</t>
  </si>
  <si>
    <t>&lt;Module 1.4&gt;</t>
  </si>
  <si>
    <t>Req. Coverage</t>
  </si>
  <si>
    <t>SWC</t>
  </si>
  <si>
    <t>&lt;SWC&gt;</t>
  </si>
  <si>
    <t># Tests</t>
  </si>
  <si>
    <t># Fails</t>
  </si>
  <si>
    <t>Fail Rate</t>
  </si>
  <si>
    <t>Open Rate</t>
  </si>
  <si>
    <t>Req. not coverable</t>
  </si>
  <si>
    <t>ASW 1</t>
  </si>
  <si>
    <t>ASW 13a</t>
  </si>
  <si>
    <t>Safety test mdl-file(s)</t>
  </si>
  <si>
    <t>Non safety test mdl-file(s)</t>
  </si>
  <si>
    <t>ASW 14a</t>
  </si>
  <si>
    <t>Comment</t>
  </si>
  <si>
    <t>Execution time in min</t>
  </si>
  <si>
    <t>Open Rate Req</t>
  </si>
  <si>
    <t>Fail Rate Req</t>
  </si>
  <si>
    <t>&lt;Block x&gt;</t>
  </si>
  <si>
    <t>&lt;Module x.1&gt;</t>
  </si>
  <si>
    <t>&lt;Module x.y&gt;</t>
  </si>
  <si>
    <t>&lt;Module x.2&gt;</t>
  </si>
  <si>
    <t>Review test implementation</t>
  </si>
  <si>
    <t>ASW 2</t>
  </si>
  <si>
    <t>Review test specification</t>
  </si>
  <si>
    <t>Overall
Open Rate</t>
  </si>
  <si>
    <t>Overall
Fail Rate</t>
  </si>
  <si>
    <t>Overall Tests
Open Rate</t>
  </si>
  <si>
    <t>Overall Tests
Fail Rate</t>
  </si>
  <si>
    <t>Method</t>
  </si>
  <si>
    <t>IR</t>
  </si>
  <si>
    <t>MKS Member</t>
  </si>
  <si>
    <t># Open</t>
  </si>
  <si>
    <t># Req.</t>
  </si>
  <si>
    <t># Req. failed</t>
  </si>
  <si>
    <t># Req. covered</t>
  </si>
  <si>
    <t># Req. not coverable</t>
  </si>
  <si>
    <t># Passed with minor finding</t>
  </si>
  <si>
    <t># Checks</t>
  </si>
  <si>
    <t># Passed after review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</si>
</sst>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3" x14ac:knownFonts="1">
    <font>
      <sz val="11"/>
      <color theme="1"/>
      <name val="Arial"/>
      <family val="2"/>
      <scheme val="minor"/>
    </font>
    <font>
      <sz val="10"/>
      <name val="Arial"/>
      <family val="2"/>
    </font>
    <font>
      <u/>
      <sz val="7"/>
      <color indexed="12"/>
      <name val="Arial"/>
      <family val="2"/>
    </font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u/>
      <sz val="10"/>
      <color theme="10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i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b/>
      <sz val="12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D5D9D8"/>
        <bgColor indexed="64"/>
      </patternFill>
    </fill>
    <fill>
      <patternFill patternType="solid">
        <fgColor rgb="FFB0B6B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</cellStyleXfs>
  <cellXfs count="97">
    <xf numFmtId="0" fontId="0" fillId="0" borderId="0" xfId="0"/>
    <xf numFmtId="0" fontId="3" fillId="2" borderId="20" xfId="0" applyFont="1" applyFill="1" applyBorder="1"/>
    <xf numFmtId="0" fontId="3" fillId="4" borderId="18" xfId="0" applyFont="1" applyFill="1" applyBorder="1" applyAlignment="1">
      <alignment vertical="center"/>
    </xf>
    <xf numFmtId="0" fontId="3" fillId="4" borderId="43" xfId="0" applyFont="1" applyFill="1" applyBorder="1" applyAlignment="1">
      <alignment vertical="center"/>
    </xf>
    <xf numFmtId="0" fontId="12" fillId="2" borderId="20" xfId="0" applyFont="1" applyFill="1" applyBorder="1"/>
    <xf numFmtId="0" fontId="10" fillId="0" borderId="0" xfId="0" applyFont="1" applyAlignment="1">
      <alignment vertical="center"/>
    </xf>
    <xf numFmtId="0" fontId="11" fillId="3" borderId="28" xfId="0" applyFont="1" applyFill="1" applyBorder="1" applyAlignment="1">
      <alignment horizontal="center" vertical="center" wrapText="1"/>
    </xf>
    <xf numFmtId="0" fontId="11" fillId="3" borderId="24" xfId="0" applyFont="1" applyFill="1" applyBorder="1" applyAlignment="1">
      <alignment horizontal="center" vertical="center" wrapText="1"/>
    </xf>
    <xf numFmtId="0" fontId="10" fillId="2" borderId="23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38" xfId="0" applyFont="1" applyFill="1" applyBorder="1" applyAlignment="1">
      <alignment horizontal="center" vertical="center" wrapText="1"/>
    </xf>
    <xf numFmtId="0" fontId="10" fillId="2" borderId="2" xfId="0" quotePrefix="1" applyFont="1" applyFill="1" applyBorder="1" applyAlignment="1">
      <alignment horizontal="center" vertical="center" wrapText="1"/>
    </xf>
    <xf numFmtId="0" fontId="10" fillId="2" borderId="38" xfId="0" quotePrefix="1" applyFont="1" applyFill="1" applyBorder="1" applyAlignment="1">
      <alignment horizontal="center" vertical="center" wrapText="1"/>
    </xf>
    <xf numFmtId="0" fontId="10" fillId="4" borderId="27" xfId="0" applyFont="1" applyFill="1" applyBorder="1" applyAlignment="1">
      <alignment vertical="center"/>
    </xf>
    <xf numFmtId="0" fontId="10" fillId="0" borderId="16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164" fontId="10" fillId="6" borderId="11" xfId="0" applyNumberFormat="1" applyFont="1" applyFill="1" applyBorder="1" applyAlignment="1">
      <alignment horizontal="center" vertical="center"/>
    </xf>
    <xf numFmtId="164" fontId="10" fillId="6" borderId="44" xfId="0" applyNumberFormat="1" applyFont="1" applyFill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164" fontId="10" fillId="6" borderId="14" xfId="0" applyNumberFormat="1" applyFont="1" applyFill="1" applyBorder="1" applyAlignment="1">
      <alignment horizontal="center" vertical="center"/>
    </xf>
    <xf numFmtId="164" fontId="10" fillId="6" borderId="35" xfId="0" applyNumberFormat="1" applyFont="1" applyFill="1" applyBorder="1" applyAlignment="1">
      <alignment horizontal="center" vertical="center"/>
    </xf>
    <xf numFmtId="0" fontId="10" fillId="6" borderId="14" xfId="0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9" fontId="10" fillId="6" borderId="14" xfId="3" applyFont="1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64" fontId="10" fillId="6" borderId="9" xfId="0" applyNumberFormat="1" applyFont="1" applyFill="1" applyBorder="1" applyAlignment="1">
      <alignment horizontal="center" vertical="center"/>
    </xf>
    <xf numFmtId="164" fontId="10" fillId="6" borderId="32" xfId="0" applyNumberFormat="1" applyFont="1" applyFill="1" applyBorder="1" applyAlignment="1">
      <alignment horizontal="center" vertical="center"/>
    </xf>
    <xf numFmtId="0" fontId="10" fillId="0" borderId="40" xfId="0" applyFont="1" applyBorder="1" applyAlignment="1">
      <alignment horizontal="center" vertical="center" wrapText="1"/>
    </xf>
    <xf numFmtId="0" fontId="10" fillId="6" borderId="11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9" fontId="10" fillId="6" borderId="11" xfId="3" applyFont="1" applyFill="1" applyBorder="1" applyAlignment="1">
      <alignment horizontal="center" vertical="center"/>
    </xf>
    <xf numFmtId="9" fontId="10" fillId="6" borderId="9" xfId="3" applyFont="1" applyFill="1" applyBorder="1" applyAlignment="1">
      <alignment horizontal="center" vertical="center"/>
    </xf>
    <xf numFmtId="0" fontId="10" fillId="0" borderId="41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164" fontId="10" fillId="6" borderId="17" xfId="0" applyNumberFormat="1" applyFont="1" applyFill="1" applyBorder="1" applyAlignment="1">
      <alignment horizontal="center" vertical="center"/>
    </xf>
    <xf numFmtId="164" fontId="10" fillId="6" borderId="36" xfId="0" applyNumberFormat="1" applyFont="1" applyFill="1" applyBorder="1" applyAlignment="1">
      <alignment horizontal="center" vertical="center"/>
    </xf>
    <xf numFmtId="0" fontId="10" fillId="0" borderId="33" xfId="0" applyFont="1" applyBorder="1" applyAlignment="1">
      <alignment horizontal="center" vertical="center" wrapText="1"/>
    </xf>
    <xf numFmtId="0" fontId="10" fillId="6" borderId="26" xfId="0" applyFont="1" applyFill="1" applyBorder="1" applyAlignment="1">
      <alignment horizontal="center" vertical="center"/>
    </xf>
    <xf numFmtId="164" fontId="10" fillId="6" borderId="26" xfId="0" applyNumberFormat="1" applyFont="1" applyFill="1" applyBorder="1" applyAlignment="1">
      <alignment horizontal="center" vertical="center"/>
    </xf>
    <xf numFmtId="164" fontId="10" fillId="6" borderId="37" xfId="0" applyNumberFormat="1" applyFont="1" applyFill="1" applyBorder="1" applyAlignment="1">
      <alignment horizontal="center" vertical="center"/>
    </xf>
    <xf numFmtId="0" fontId="10" fillId="5" borderId="17" xfId="0" applyFont="1" applyFill="1" applyBorder="1" applyAlignment="1">
      <alignment horizontal="center" vertical="center"/>
    </xf>
    <xf numFmtId="0" fontId="10" fillId="0" borderId="42" xfId="0" applyFont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/>
    </xf>
    <xf numFmtId="0" fontId="10" fillId="5" borderId="25" xfId="0" applyFont="1" applyFill="1" applyBorder="1" applyAlignment="1">
      <alignment horizontal="center" vertical="center"/>
    </xf>
    <xf numFmtId="0" fontId="10" fillId="5" borderId="26" xfId="0" applyFont="1" applyFill="1" applyBorder="1" applyAlignment="1">
      <alignment horizontal="center" vertical="center"/>
    </xf>
    <xf numFmtId="9" fontId="10" fillId="6" borderId="26" xfId="3" applyFont="1" applyFill="1" applyBorder="1" applyAlignment="1">
      <alignment horizontal="center" vertical="center"/>
    </xf>
    <xf numFmtId="9" fontId="10" fillId="6" borderId="17" xfId="3" applyFont="1" applyFill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164" fontId="10" fillId="6" borderId="2" xfId="0" applyNumberFormat="1" applyFont="1" applyFill="1" applyBorder="1" applyAlignment="1">
      <alignment horizontal="center" vertical="center"/>
    </xf>
    <xf numFmtId="164" fontId="10" fillId="6" borderId="38" xfId="0" applyNumberFormat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10" fillId="6" borderId="2" xfId="0" applyFont="1" applyFill="1" applyBorder="1" applyAlignment="1">
      <alignment horizontal="center" vertical="center"/>
    </xf>
    <xf numFmtId="164" fontId="10" fillId="6" borderId="24" xfId="0" applyNumberFormat="1" applyFont="1" applyFill="1" applyBorder="1" applyAlignment="1">
      <alignment horizontal="center" vertical="center"/>
    </xf>
    <xf numFmtId="164" fontId="10" fillId="6" borderId="2" xfId="3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0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right" vertical="center"/>
    </xf>
    <xf numFmtId="16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9" fontId="10" fillId="0" borderId="0" xfId="0" applyNumberFormat="1" applyFont="1" applyAlignment="1">
      <alignment horizontal="center" vertical="center"/>
    </xf>
    <xf numFmtId="164" fontId="10" fillId="6" borderId="16" xfId="0" applyNumberFormat="1" applyFont="1" applyFill="1" applyBorder="1" applyAlignment="1">
      <alignment horizontal="center" vertical="center"/>
    </xf>
    <xf numFmtId="164" fontId="10" fillId="6" borderId="49" xfId="0" applyNumberFormat="1" applyFont="1" applyFill="1" applyBorder="1" applyAlignment="1">
      <alignment horizontal="center" vertical="center"/>
    </xf>
    <xf numFmtId="164" fontId="10" fillId="6" borderId="50" xfId="0" applyNumberFormat="1" applyFont="1" applyFill="1" applyBorder="1" applyAlignment="1">
      <alignment horizontal="center" vertical="center"/>
    </xf>
    <xf numFmtId="164" fontId="10" fillId="6" borderId="48" xfId="0" applyNumberFormat="1" applyFont="1" applyFill="1" applyBorder="1" applyAlignment="1">
      <alignment horizontal="center" vertical="center"/>
    </xf>
    <xf numFmtId="164" fontId="10" fillId="6" borderId="30" xfId="0" applyNumberFormat="1" applyFont="1" applyFill="1" applyBorder="1" applyAlignment="1">
      <alignment horizontal="center" vertical="center"/>
    </xf>
    <xf numFmtId="164" fontId="10" fillId="6" borderId="51" xfId="0" applyNumberFormat="1" applyFont="1" applyFill="1" applyBorder="1" applyAlignment="1">
      <alignment horizontal="center" vertical="center"/>
    </xf>
    <xf numFmtId="10" fontId="10" fillId="0" borderId="45" xfId="0" applyNumberFormat="1" applyFont="1" applyBorder="1" applyAlignment="1">
      <alignment horizontal="center" vertical="center" wrapText="1"/>
    </xf>
    <xf numFmtId="0" fontId="11" fillId="3" borderId="18" xfId="0" applyFont="1" applyFill="1" applyBorder="1" applyAlignment="1">
      <alignment horizontal="center" vertical="center" textRotation="90" wrapText="1"/>
    </xf>
    <xf numFmtId="0" fontId="11" fillId="3" borderId="33" xfId="0" applyFont="1" applyFill="1" applyBorder="1" applyAlignment="1">
      <alignment horizontal="center" vertical="center" textRotation="90" wrapText="1"/>
    </xf>
    <xf numFmtId="0" fontId="12" fillId="2" borderId="12" xfId="0" applyFont="1" applyFill="1" applyBorder="1" applyAlignment="1">
      <alignment horizontal="center" wrapText="1"/>
    </xf>
    <xf numFmtId="0" fontId="12" fillId="2" borderId="34" xfId="0" applyFont="1" applyFill="1" applyBorder="1" applyAlignment="1">
      <alignment horizontal="center" wrapText="1"/>
    </xf>
    <xf numFmtId="0" fontId="12" fillId="2" borderId="30" xfId="0" applyFont="1" applyFill="1" applyBorder="1" applyAlignment="1">
      <alignment horizontal="center" wrapText="1"/>
    </xf>
    <xf numFmtId="0" fontId="12" fillId="2" borderId="0" xfId="0" applyFont="1" applyFill="1" applyAlignment="1">
      <alignment horizontal="center" wrapText="1"/>
    </xf>
    <xf numFmtId="0" fontId="12" fillId="2" borderId="37" xfId="0" applyFont="1" applyFill="1" applyBorder="1" applyAlignment="1">
      <alignment horizontal="center" wrapText="1"/>
    </xf>
    <xf numFmtId="0" fontId="12" fillId="2" borderId="46" xfId="0" applyFont="1" applyFill="1" applyBorder="1" applyAlignment="1">
      <alignment horizontal="center" wrapText="1"/>
    </xf>
    <xf numFmtId="0" fontId="11" fillId="3" borderId="5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2" fillId="2" borderId="20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 wrapText="1"/>
    </xf>
    <xf numFmtId="0" fontId="10" fillId="2" borderId="43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8" xfId="0" applyFont="1" applyFill="1" applyBorder="1" applyAlignment="1">
      <alignment horizontal="center" vertical="center" wrapText="1"/>
    </xf>
    <xf numFmtId="0" fontId="10" fillId="2" borderId="46" xfId="0" applyFont="1" applyFill="1" applyBorder="1" applyAlignment="1">
      <alignment horizontal="center" vertical="center" wrapText="1"/>
    </xf>
    <xf numFmtId="0" fontId="10" fillId="2" borderId="47" xfId="0" applyFont="1" applyFill="1" applyBorder="1" applyAlignment="1">
      <alignment horizontal="center" vertical="center" wrapText="1"/>
    </xf>
  </cellXfs>
  <cellStyles count="5">
    <cellStyle name="Hyperlink 2" xfId="2" xr:uid="{00000000-0005-0000-0000-000000000000}"/>
    <cellStyle name="Link 2" xfId="4" xr:uid="{00000000-0005-0000-0000-000003000000}"/>
    <cellStyle name="Normal" xfId="0" builtinId="0"/>
    <cellStyle name="Percent" xfId="3" builtinId="5"/>
    <cellStyle name="Standard 2" xfId="1" xr:uid="{00000000-0005-0000-0000-000007000000}"/>
  </cellStyles>
  <dxfs count="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ill>
        <patternFill>
          <bgColor theme="3" tint="0.499984740745262"/>
        </patternFill>
      </fill>
    </dxf>
    <dxf>
      <font>
        <color auto="1"/>
      </font>
      <fill>
        <patternFill>
          <bgColor theme="0" tint="-0.14996795556505021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theme="3" tint="0.499984740745262"/>
        </patternFill>
      </fill>
    </dxf>
  </dxfs>
  <tableStyles count="0" defaultTableStyle="TableStyleMedium9" defaultPivotStyle="PivotStyleLight16"/>
  <colors>
    <mruColors>
      <color rgb="FF9D9D9D"/>
      <color rgb="FF969696"/>
      <color rgb="FFC0C0C0"/>
      <color rgb="FF808080"/>
      <color rgb="FFB2B2B2"/>
      <color rgb="FFB0B6B8"/>
      <color rgb="FFD5D9D8"/>
      <color rgb="FF1809DD"/>
      <color rgb="FF6D757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Audi">
  <a:themeElements>
    <a:clrScheme name="Audi Standard">
      <a:dk1>
        <a:srgbClr val="000000"/>
      </a:dk1>
      <a:lt1>
        <a:srgbClr val="FFFFFF"/>
      </a:lt1>
      <a:dk2>
        <a:srgbClr val="000000"/>
      </a:dk2>
      <a:lt2>
        <a:srgbClr val="B0B6B8"/>
      </a:lt2>
      <a:accent1>
        <a:srgbClr val="434C53"/>
      </a:accent1>
      <a:accent2>
        <a:srgbClr val="D5D9D8"/>
      </a:accent2>
      <a:accent3>
        <a:srgbClr val="6D7579"/>
      </a:accent3>
      <a:accent4>
        <a:srgbClr val="CACE98"/>
      </a:accent4>
      <a:accent5>
        <a:srgbClr val="B0B6AD"/>
      </a:accent5>
      <a:accent6>
        <a:srgbClr val="B9002D"/>
      </a:accent6>
      <a:hlink>
        <a:srgbClr val="6682A4"/>
      </a:hlink>
      <a:folHlink>
        <a:srgbClr val="6C4859"/>
      </a:folHlink>
    </a:clrScheme>
    <a:fontScheme name="Audi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Audi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none" lIns="0" tIns="0" rIns="0" bIns="0" numCol="1" anchor="ctr" anchorCtr="0" compatLnSpc="1">
        <a:prstTxWarp prst="textNoShape">
          <a:avLst/>
        </a:prstTxWarp>
      </a:bodyPr>
      <a:lstStyle>
        <a:defPPr marL="0" marR="0" indent="0" algn="l" defTabSz="914400" rtl="0" eaLnBrk="0" fontAlgn="base" latinLnBrk="0" hangingPunct="0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Arial" charset="0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  <a:effectLst/>
      </a:spPr>
      <a:bodyPr vert="horz" wrap="none" lIns="0" tIns="0" rIns="0" bIns="0" numCol="1" anchor="ctr" anchorCtr="0" compatLnSpc="1">
        <a:prstTxWarp prst="textNoShape">
          <a:avLst/>
        </a:prstTxWarp>
      </a:bodyPr>
      <a:lstStyle>
        <a:defPPr marL="0" marR="0" indent="0" algn="l" defTabSz="914400" rtl="0" eaLnBrk="0" fontAlgn="base" latinLnBrk="0" hangingPunct="0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US" sz="2400" b="0" i="0" u="none" strike="noStrike" cap="none" normalizeH="0" baseline="0" smtClean="0">
            <a:ln>
              <a:noFill/>
            </a:ln>
            <a:solidFill>
              <a:schemeClr val="tx1"/>
            </a:solidFill>
            <a:effectLst/>
            <a:latin typeface="Arial" charset="0"/>
          </a:defRPr>
        </a:defPPr>
      </a:lstStyle>
    </a:lnDef>
  </a:objectDefaults>
  <a:extraClrSchemeLst>
    <a:extraClrScheme>
      <a:clrScheme name="Audi">
        <a:dk1>
          <a:srgbClr val="000000"/>
        </a:dk1>
        <a:lt1>
          <a:srgbClr val="CDCDCD"/>
        </a:lt1>
        <a:dk2>
          <a:srgbClr val="000000"/>
        </a:dk2>
        <a:lt2>
          <a:srgbClr val="999999"/>
        </a:lt2>
        <a:accent1>
          <a:srgbClr val="FED900"/>
        </a:accent1>
        <a:accent2>
          <a:srgbClr val="FCAF00"/>
        </a:accent2>
        <a:accent3>
          <a:srgbClr val="2C9730"/>
        </a:accent3>
        <a:accent4>
          <a:srgbClr val="E3D36F"/>
        </a:accent4>
        <a:accent5>
          <a:srgbClr val="FEE9AA"/>
        </a:accent5>
        <a:accent6>
          <a:srgbClr val="A4AA73"/>
        </a:accent6>
        <a:hlink>
          <a:srgbClr val="339999"/>
        </a:hlink>
        <a:folHlink>
          <a:srgbClr val="009FCE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custClrLst>
    <a:custClr name="PMS 108">
      <a:srgbClr val="FEF000"/>
    </a:custClr>
    <a:custClr name="PMS 130">
      <a:srgbClr val="FBBB1B"/>
    </a:custClr>
    <a:custClr name="PMS 158">
      <a:srgbClr val="F6751F"/>
    </a:custClr>
    <a:custClr name="PMS 398">
      <a:srgbClr val="C5C12D"/>
    </a:custClr>
    <a:custClr name="PMS 377">
      <a:srgbClr val="669933"/>
    </a:custClr>
    <a:custClr name="PMS 347">
      <a:srgbClr val="008F54"/>
    </a:custClr>
    <a:custClr name="PMS 313">
      <a:srgbClr val="02B3E1"/>
    </a:custClr>
    <a:custClr name="PMS 5483">
      <a:srgbClr val="55959E"/>
    </a:custClr>
    <a:custClr name="PMS 556">
      <a:srgbClr val="7FBAA5"/>
    </a:custClr>
    <a:custClr name="Audi Cool Gray 9">
      <a:srgbClr val="5E5E5E"/>
    </a:custClr>
  </a:custClr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pageSetUpPr fitToPage="1"/>
  </sheetPr>
  <dimension ref="A1:CN16"/>
  <sheetViews>
    <sheetView tabSelected="1" view="pageBreakPreview" zoomScale="70" zoomScaleNormal="70" zoomScaleSheetLayoutView="70" workbookViewId="0">
      <pane xSplit="2" ySplit="5" topLeftCell="K6" activePane="bottomRight" state="frozen"/>
      <selection pane="topRight" activeCell="G1" sqref="G1"/>
      <selection pane="bottomLeft" activeCell="A4" sqref="A4"/>
      <selection pane="bottomRight" activeCell="BT8" sqref="BT8"/>
    </sheetView>
  </sheetViews>
  <sheetFormatPr defaultColWidth="11" defaultRowHeight="25.5" customHeight="1" outlineLevelRow="1" outlineLevelCol="1" x14ac:dyDescent="0.25"/>
  <cols>
    <col min="1" max="1" width="11.69921875" style="66" customWidth="1"/>
    <col min="2" max="2" width="15.19921875" style="66" customWidth="1"/>
    <col min="3" max="3" width="10.8984375" style="66" hidden="1" customWidth="1" outlineLevel="1"/>
    <col min="4" max="10" width="10.69921875" style="66" hidden="1" customWidth="1" outlineLevel="1"/>
    <col min="11" max="17" width="10.69921875" style="66" customWidth="1" outlineLevel="1"/>
    <col min="18" max="18" width="10.69921875" style="66" customWidth="1"/>
    <col min="19" max="25" width="10.69921875" style="66" hidden="1" customWidth="1" outlineLevel="1"/>
    <col min="26" max="32" width="10.69921875" style="66" customWidth="1" outlineLevel="1"/>
    <col min="33" max="33" width="10.69921875" style="66" customWidth="1"/>
    <col min="34" max="46" width="10.69921875" style="66" customWidth="1" outlineLevel="1"/>
    <col min="47" max="47" width="10.69921875" style="66" customWidth="1"/>
    <col min="48" max="62" width="10.69921875" style="66" hidden="1" customWidth="1" outlineLevel="1"/>
    <col min="63" max="75" width="10.69921875" style="66" customWidth="1" outlineLevel="1"/>
    <col min="76" max="76" width="10.69921875" style="66" customWidth="1"/>
    <col min="77" max="91" width="10.69921875" style="66" hidden="1" customWidth="1" outlineLevel="1"/>
    <col min="92" max="92" width="11" style="5" collapsed="1"/>
    <col min="93" max="16384" width="11" style="5"/>
  </cols>
  <sheetData>
    <row r="1" spans="1:91" ht="25.5" customHeight="1" thickBot="1" x14ac:dyDescent="0.35">
      <c r="A1" s="81" t="s">
        <v>0</v>
      </c>
      <c r="B1" s="82"/>
      <c r="C1" s="4"/>
      <c r="D1" s="4"/>
      <c r="E1" s="1"/>
      <c r="F1" s="1"/>
      <c r="G1" s="1"/>
      <c r="H1" s="1"/>
      <c r="I1" s="1"/>
      <c r="J1" s="1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</row>
    <row r="2" spans="1:91" ht="25.5" customHeight="1" thickBot="1" x14ac:dyDescent="0.3">
      <c r="A2" s="83"/>
      <c r="B2" s="84"/>
      <c r="C2" s="87" t="s">
        <v>17</v>
      </c>
      <c r="D2" s="90"/>
      <c r="E2" s="90"/>
      <c r="F2" s="90"/>
      <c r="G2" s="90"/>
      <c r="H2" s="90"/>
      <c r="I2" s="90"/>
      <c r="J2" s="90"/>
      <c r="K2" s="87" t="str">
        <f>R2</f>
        <v>ASW 2</v>
      </c>
      <c r="L2" s="88"/>
      <c r="M2" s="88"/>
      <c r="N2" s="88"/>
      <c r="O2" s="88"/>
      <c r="P2" s="88"/>
      <c r="Q2" s="88"/>
      <c r="R2" s="6" t="s">
        <v>31</v>
      </c>
      <c r="S2" s="87" t="e">
        <f>#REF!</f>
        <v>#REF!</v>
      </c>
      <c r="T2" s="88"/>
      <c r="U2" s="88"/>
      <c r="V2" s="88"/>
      <c r="W2" s="88"/>
      <c r="X2" s="88"/>
      <c r="Y2" s="88"/>
      <c r="Z2" s="87" t="str">
        <f>AG2</f>
        <v>ASW 9</v>
      </c>
      <c r="AA2" s="88"/>
      <c r="AB2" s="88"/>
      <c r="AC2" s="88"/>
      <c r="AD2" s="88"/>
      <c r="AE2" s="88"/>
      <c r="AF2" s="88"/>
      <c r="AG2" s="6" t="s">
        <v>2</v>
      </c>
      <c r="AH2" s="87" t="str">
        <f>AU2</f>
        <v>ASW 13a</v>
      </c>
      <c r="AI2" s="90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6" t="s">
        <v>18</v>
      </c>
      <c r="AV2" s="87" t="e">
        <f>#REF!</f>
        <v>#REF!</v>
      </c>
      <c r="AW2" s="90"/>
      <c r="AX2" s="90"/>
      <c r="AY2" s="90"/>
      <c r="AZ2" s="90"/>
      <c r="BA2" s="90"/>
      <c r="BB2" s="90"/>
      <c r="BC2" s="90"/>
      <c r="BD2" s="90"/>
      <c r="BE2" s="90"/>
      <c r="BF2" s="90"/>
      <c r="BG2" s="90"/>
      <c r="BH2" s="90"/>
      <c r="BI2" s="88"/>
      <c r="BJ2" s="88"/>
      <c r="BK2" s="87" t="str">
        <f>BX2</f>
        <v>ASW 14a</v>
      </c>
      <c r="BL2" s="90"/>
      <c r="BM2" s="88"/>
      <c r="BN2" s="88"/>
      <c r="BO2" s="88"/>
      <c r="BP2" s="88"/>
      <c r="BQ2" s="88"/>
      <c r="BR2" s="88"/>
      <c r="BS2" s="88"/>
      <c r="BT2" s="88"/>
      <c r="BU2" s="88"/>
      <c r="BV2" s="88"/>
      <c r="BW2" s="88"/>
      <c r="BX2" s="6" t="s">
        <v>21</v>
      </c>
      <c r="BY2" s="87" t="e">
        <f>#REF!</f>
        <v>#REF!</v>
      </c>
      <c r="BZ2" s="90"/>
      <c r="CA2" s="90"/>
      <c r="CB2" s="90"/>
      <c r="CC2" s="90"/>
      <c r="CD2" s="90"/>
      <c r="CE2" s="90"/>
      <c r="CF2" s="90"/>
      <c r="CG2" s="90"/>
      <c r="CH2" s="90"/>
      <c r="CI2" s="90"/>
      <c r="CJ2" s="90"/>
      <c r="CK2" s="90"/>
      <c r="CL2" s="88"/>
      <c r="CM2" s="88"/>
    </row>
    <row r="3" spans="1:91" ht="25.5" customHeight="1" x14ac:dyDescent="0.25">
      <c r="A3" s="83"/>
      <c r="B3" s="84"/>
      <c r="C3" s="91" t="e">
        <f>#REF!</f>
        <v>#REF!</v>
      </c>
      <c r="D3" s="92"/>
      <c r="E3" s="92"/>
      <c r="F3" s="92"/>
      <c r="G3" s="92"/>
      <c r="H3" s="92"/>
      <c r="I3" s="92"/>
      <c r="J3" s="93"/>
      <c r="K3" s="91" t="str">
        <f>R3</f>
        <v>Review test specification</v>
      </c>
      <c r="L3" s="92"/>
      <c r="M3" s="92"/>
      <c r="N3" s="92"/>
      <c r="O3" s="92"/>
      <c r="P3" s="92"/>
      <c r="Q3" s="93"/>
      <c r="R3" s="79" t="s">
        <v>32</v>
      </c>
      <c r="S3" s="91" t="e">
        <f>#REF!</f>
        <v>#REF!</v>
      </c>
      <c r="T3" s="92"/>
      <c r="U3" s="92"/>
      <c r="V3" s="92"/>
      <c r="W3" s="92"/>
      <c r="X3" s="92"/>
      <c r="Y3" s="93"/>
      <c r="Z3" s="91" t="str">
        <f>AG3</f>
        <v>Review test implementation</v>
      </c>
      <c r="AA3" s="92"/>
      <c r="AB3" s="92"/>
      <c r="AC3" s="92"/>
      <c r="AD3" s="92"/>
      <c r="AE3" s="92"/>
      <c r="AF3" s="93"/>
      <c r="AG3" s="79" t="s">
        <v>30</v>
      </c>
      <c r="AH3" s="91" t="str">
        <f>AU3</f>
        <v>Safety test mdl-file(s)</v>
      </c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3"/>
      <c r="AU3" s="79" t="s">
        <v>19</v>
      </c>
      <c r="AV3" s="91" t="e">
        <f>#REF!</f>
        <v>#REF!</v>
      </c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3"/>
      <c r="BK3" s="91" t="str">
        <f>BX3</f>
        <v>Non safety test mdl-file(s)</v>
      </c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3"/>
      <c r="BX3" s="79" t="s">
        <v>20</v>
      </c>
      <c r="BY3" s="91" t="e">
        <f>#REF!</f>
        <v>#REF!</v>
      </c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3"/>
    </row>
    <row r="4" spans="1:91" ht="141.75" customHeight="1" thickBot="1" x14ac:dyDescent="0.3">
      <c r="A4" s="85"/>
      <c r="B4" s="86"/>
      <c r="C4" s="94"/>
      <c r="D4" s="95"/>
      <c r="E4" s="95"/>
      <c r="F4" s="95"/>
      <c r="G4" s="95"/>
      <c r="H4" s="95"/>
      <c r="I4" s="95"/>
      <c r="J4" s="96"/>
      <c r="K4" s="94"/>
      <c r="L4" s="95"/>
      <c r="M4" s="95"/>
      <c r="N4" s="95"/>
      <c r="O4" s="95"/>
      <c r="P4" s="95"/>
      <c r="Q4" s="96"/>
      <c r="R4" s="80"/>
      <c r="S4" s="94"/>
      <c r="T4" s="95"/>
      <c r="U4" s="95"/>
      <c r="V4" s="95"/>
      <c r="W4" s="95"/>
      <c r="X4" s="95"/>
      <c r="Y4" s="96"/>
      <c r="Z4" s="94"/>
      <c r="AA4" s="95"/>
      <c r="AB4" s="95"/>
      <c r="AC4" s="95"/>
      <c r="AD4" s="95"/>
      <c r="AE4" s="95"/>
      <c r="AF4" s="96"/>
      <c r="AG4" s="80"/>
      <c r="AH4" s="94"/>
      <c r="AI4" s="95"/>
      <c r="AJ4" s="95"/>
      <c r="AK4" s="95"/>
      <c r="AL4" s="95"/>
      <c r="AM4" s="95"/>
      <c r="AN4" s="95"/>
      <c r="AO4" s="95"/>
      <c r="AP4" s="95"/>
      <c r="AQ4" s="95"/>
      <c r="AR4" s="95"/>
      <c r="AS4" s="95"/>
      <c r="AT4" s="96"/>
      <c r="AU4" s="80"/>
      <c r="AV4" s="94"/>
      <c r="AW4" s="95"/>
      <c r="AX4" s="95"/>
      <c r="AY4" s="95"/>
      <c r="AZ4" s="95"/>
      <c r="BA4" s="95"/>
      <c r="BB4" s="95"/>
      <c r="BC4" s="95"/>
      <c r="BD4" s="95"/>
      <c r="BE4" s="95"/>
      <c r="BF4" s="95"/>
      <c r="BG4" s="95"/>
      <c r="BH4" s="95"/>
      <c r="BI4" s="95"/>
      <c r="BJ4" s="96"/>
      <c r="BK4" s="94"/>
      <c r="BL4" s="95"/>
      <c r="BM4" s="95"/>
      <c r="BN4" s="95"/>
      <c r="BO4" s="95"/>
      <c r="BP4" s="95"/>
      <c r="BQ4" s="95"/>
      <c r="BR4" s="95"/>
      <c r="BS4" s="95"/>
      <c r="BT4" s="95"/>
      <c r="BU4" s="95"/>
      <c r="BV4" s="95"/>
      <c r="BW4" s="96"/>
      <c r="BX4" s="80"/>
      <c r="BY4" s="94"/>
      <c r="BZ4" s="95"/>
      <c r="CA4" s="95"/>
      <c r="CB4" s="95"/>
      <c r="CC4" s="95"/>
      <c r="CD4" s="95"/>
      <c r="CE4" s="95"/>
      <c r="CF4" s="95"/>
      <c r="CG4" s="95"/>
      <c r="CH4" s="95"/>
      <c r="CI4" s="95"/>
      <c r="CJ4" s="95"/>
      <c r="CK4" s="95"/>
      <c r="CL4" s="95"/>
      <c r="CM4" s="96"/>
    </row>
    <row r="5" spans="1:91" customFormat="1" ht="53.25" customHeight="1" thickBot="1" x14ac:dyDescent="0.3">
      <c r="A5" s="6" t="s">
        <v>10</v>
      </c>
      <c r="B5" s="7" t="s">
        <v>1</v>
      </c>
      <c r="C5" s="8" t="s">
        <v>39</v>
      </c>
      <c r="D5" s="9" t="s">
        <v>37</v>
      </c>
      <c r="E5" s="9" t="s">
        <v>12</v>
      </c>
      <c r="F5" s="9" t="s">
        <v>40</v>
      </c>
      <c r="G5" s="9" t="s">
        <v>13</v>
      </c>
      <c r="H5" s="9" t="s">
        <v>45</v>
      </c>
      <c r="I5" s="9" t="s">
        <v>15</v>
      </c>
      <c r="J5" s="10" t="s">
        <v>14</v>
      </c>
      <c r="K5" s="8" t="s">
        <v>39</v>
      </c>
      <c r="L5" s="9" t="s">
        <v>37</v>
      </c>
      <c r="M5" s="9" t="s">
        <v>12</v>
      </c>
      <c r="N5" s="9" t="s">
        <v>40</v>
      </c>
      <c r="O5" s="9" t="s">
        <v>13</v>
      </c>
      <c r="P5" s="9" t="s">
        <v>15</v>
      </c>
      <c r="Q5" s="10" t="s">
        <v>14</v>
      </c>
      <c r="R5" s="6" t="s">
        <v>3</v>
      </c>
      <c r="S5" s="8" t="s">
        <v>39</v>
      </c>
      <c r="T5" s="9" t="s">
        <v>46</v>
      </c>
      <c r="U5" s="9" t="s">
        <v>40</v>
      </c>
      <c r="V5" s="9" t="s">
        <v>13</v>
      </c>
      <c r="W5" s="11" t="s">
        <v>47</v>
      </c>
      <c r="X5" s="12" t="s">
        <v>15</v>
      </c>
      <c r="Y5" s="10" t="s">
        <v>14</v>
      </c>
      <c r="Z5" s="8" t="s">
        <v>39</v>
      </c>
      <c r="AA5" s="9" t="s">
        <v>37</v>
      </c>
      <c r="AB5" s="9" t="s">
        <v>12</v>
      </c>
      <c r="AC5" s="9" t="s">
        <v>40</v>
      </c>
      <c r="AD5" s="9" t="s">
        <v>13</v>
      </c>
      <c r="AE5" s="9" t="s">
        <v>15</v>
      </c>
      <c r="AF5" s="10" t="s">
        <v>14</v>
      </c>
      <c r="AG5" s="6" t="s">
        <v>3</v>
      </c>
      <c r="AH5" s="8" t="s">
        <v>39</v>
      </c>
      <c r="AI5" s="8" t="s">
        <v>23</v>
      </c>
      <c r="AJ5" s="9" t="s">
        <v>12</v>
      </c>
      <c r="AK5" s="9" t="s">
        <v>40</v>
      </c>
      <c r="AL5" s="9" t="s">
        <v>13</v>
      </c>
      <c r="AM5" s="9" t="s">
        <v>15</v>
      </c>
      <c r="AN5" s="9" t="s">
        <v>14</v>
      </c>
      <c r="AO5" s="9" t="s">
        <v>41</v>
      </c>
      <c r="AP5" s="9" t="s">
        <v>42</v>
      </c>
      <c r="AQ5" s="9" t="s">
        <v>43</v>
      </c>
      <c r="AR5" s="9" t="s">
        <v>9</v>
      </c>
      <c r="AS5" s="9" t="s">
        <v>24</v>
      </c>
      <c r="AT5" s="10" t="s">
        <v>25</v>
      </c>
      <c r="AU5" s="6" t="s">
        <v>3</v>
      </c>
      <c r="AV5" s="8" t="s">
        <v>39</v>
      </c>
      <c r="AW5" s="8" t="s">
        <v>23</v>
      </c>
      <c r="AX5" s="9" t="s">
        <v>12</v>
      </c>
      <c r="AY5" s="9" t="s">
        <v>40</v>
      </c>
      <c r="AZ5" s="9" t="s">
        <v>13</v>
      </c>
      <c r="BA5" s="9" t="s">
        <v>15</v>
      </c>
      <c r="BB5" s="9" t="s">
        <v>14</v>
      </c>
      <c r="BC5" s="9" t="s">
        <v>41</v>
      </c>
      <c r="BD5" s="9" t="s">
        <v>42</v>
      </c>
      <c r="BE5" s="9" t="s">
        <v>43</v>
      </c>
      <c r="BF5" s="9" t="s">
        <v>44</v>
      </c>
      <c r="BG5" s="9" t="s">
        <v>9</v>
      </c>
      <c r="BH5" s="9" t="s">
        <v>16</v>
      </c>
      <c r="BI5" s="9" t="s">
        <v>24</v>
      </c>
      <c r="BJ5" s="10" t="s">
        <v>25</v>
      </c>
      <c r="BK5" s="8" t="s">
        <v>39</v>
      </c>
      <c r="BL5" s="8" t="s">
        <v>23</v>
      </c>
      <c r="BM5" s="9" t="s">
        <v>12</v>
      </c>
      <c r="BN5" s="9" t="s">
        <v>40</v>
      </c>
      <c r="BO5" s="9" t="s">
        <v>13</v>
      </c>
      <c r="BP5" s="9" t="s">
        <v>15</v>
      </c>
      <c r="BQ5" s="9" t="s">
        <v>14</v>
      </c>
      <c r="BR5" s="9" t="s">
        <v>41</v>
      </c>
      <c r="BS5" s="9" t="s">
        <v>42</v>
      </c>
      <c r="BT5" s="9" t="s">
        <v>43</v>
      </c>
      <c r="BU5" s="9" t="s">
        <v>9</v>
      </c>
      <c r="BV5" s="9" t="s">
        <v>24</v>
      </c>
      <c r="BW5" s="10" t="s">
        <v>25</v>
      </c>
      <c r="BX5" s="6" t="s">
        <v>3</v>
      </c>
      <c r="BY5" s="8" t="s">
        <v>39</v>
      </c>
      <c r="BZ5" s="8" t="s">
        <v>23</v>
      </c>
      <c r="CA5" s="9" t="s">
        <v>12</v>
      </c>
      <c r="CB5" s="9" t="s">
        <v>40</v>
      </c>
      <c r="CC5" s="9" t="s">
        <v>13</v>
      </c>
      <c r="CD5" s="9" t="s">
        <v>15</v>
      </c>
      <c r="CE5" s="9" t="s">
        <v>14</v>
      </c>
      <c r="CF5" s="9" t="s">
        <v>41</v>
      </c>
      <c r="CG5" s="9" t="s">
        <v>42</v>
      </c>
      <c r="CH5" s="9" t="s">
        <v>43</v>
      </c>
      <c r="CI5" s="9" t="s">
        <v>44</v>
      </c>
      <c r="CJ5" s="9" t="s">
        <v>9</v>
      </c>
      <c r="CK5" s="9" t="s">
        <v>16</v>
      </c>
      <c r="CL5" s="9" t="s">
        <v>24</v>
      </c>
      <c r="CM5" s="10" t="s">
        <v>25</v>
      </c>
    </row>
    <row r="6" spans="1:91" ht="25.5" customHeight="1" outlineLevel="1" x14ac:dyDescent="0.25">
      <c r="A6" s="13" t="str">
        <f>B14</f>
        <v>&lt;SWC&gt;</v>
      </c>
      <c r="B6" s="14" t="s">
        <v>5</v>
      </c>
      <c r="C6" s="15"/>
      <c r="D6" s="16"/>
      <c r="E6" s="16"/>
      <c r="F6" s="16"/>
      <c r="G6" s="16"/>
      <c r="H6" s="16"/>
      <c r="I6" s="17">
        <f t="shared" ref="I6:I14" si="0">IF(E6 = 0,-0.01,F6/(E6))</f>
        <v>-0.01</v>
      </c>
      <c r="J6" s="18">
        <f t="shared" ref="J6:J14" si="1">IF(E6 = 0,-0.01,G6/(E6))</f>
        <v>-0.01</v>
      </c>
      <c r="K6" s="20"/>
      <c r="L6" s="21" t="s">
        <v>38</v>
      </c>
      <c r="M6" s="21">
        <v>100</v>
      </c>
      <c r="N6" s="21">
        <v>10</v>
      </c>
      <c r="O6" s="21">
        <v>4</v>
      </c>
      <c r="P6" s="22">
        <f t="shared" ref="P6:P14" si="2">IF(M6 = 0,-0.01,N6/(M6))</f>
        <v>0.1</v>
      </c>
      <c r="Q6" s="23">
        <f t="shared" ref="Q6:Q14" si="3">IF(M6 = 0,-0.01,O6/(M6))</f>
        <v>0.04</v>
      </c>
      <c r="R6" s="19"/>
      <c r="S6" s="20"/>
      <c r="T6" s="21"/>
      <c r="U6" s="24" t="e">
        <f>IF((COUNTIF(#REF!, "finished") &gt; 0),0,T6)</f>
        <v>#REF!</v>
      </c>
      <c r="V6" s="21"/>
      <c r="W6" s="21"/>
      <c r="X6" s="22">
        <f>IF(T6 = 0,-0.01,U6/(T6))</f>
        <v>-0.01</v>
      </c>
      <c r="Y6" s="23">
        <f t="shared" ref="Y6:Y14" si="4">IF(T6 = 0,-0.01,V6/(T6))</f>
        <v>-0.01</v>
      </c>
      <c r="Z6" s="20"/>
      <c r="AA6" s="21" t="s">
        <v>38</v>
      </c>
      <c r="AB6" s="21">
        <v>100</v>
      </c>
      <c r="AC6" s="21">
        <v>10</v>
      </c>
      <c r="AD6" s="21">
        <v>1</v>
      </c>
      <c r="AE6" s="22">
        <f t="shared" ref="AE6:AE14" si="5">IF(AB6 = 0,-0.01,AC6/(AB6))</f>
        <v>0.1</v>
      </c>
      <c r="AF6" s="23">
        <f t="shared" ref="AF6:AF14" si="6">IF(AB6 = 0,-0.01,AD6/(AB6))</f>
        <v>0.01</v>
      </c>
      <c r="AG6" s="19"/>
      <c r="AH6" s="20"/>
      <c r="AI6" s="25"/>
      <c r="AJ6" s="21">
        <v>10</v>
      </c>
      <c r="AK6" s="21">
        <v>1</v>
      </c>
      <c r="AL6" s="21">
        <v>1</v>
      </c>
      <c r="AM6" s="22">
        <f t="shared" ref="AM6:AM14" si="7">IF(AJ6 = 0,-0.01,AK6/(AJ6))</f>
        <v>0.1</v>
      </c>
      <c r="AN6" s="22">
        <f t="shared" ref="AN6:AN14" si="8">IF(AJ6 = 0,-0.01,AL6/(AJ6))</f>
        <v>0.1</v>
      </c>
      <c r="AO6" s="21">
        <v>3</v>
      </c>
      <c r="AP6" s="21">
        <v>1</v>
      </c>
      <c r="AQ6" s="21">
        <v>2</v>
      </c>
      <c r="AR6" s="26">
        <f t="shared" ref="AR6:AR14" si="9">IF(AO6=0,"",AQ6/AO6)</f>
        <v>0.66666666666666663</v>
      </c>
      <c r="AS6" s="22">
        <f>IF(AO6=0,"",1 - (AQ6/AO6))</f>
        <v>0.33333333333333337</v>
      </c>
      <c r="AT6" s="23">
        <f>IF(AO6=0,"",AP6/AO6)</f>
        <v>0.33333333333333331</v>
      </c>
      <c r="AU6" s="19" t="s">
        <v>4</v>
      </c>
      <c r="AV6" s="20"/>
      <c r="AW6" s="25"/>
      <c r="AX6" s="21"/>
      <c r="AY6" s="21"/>
      <c r="AZ6" s="21"/>
      <c r="BA6" s="22">
        <f t="shared" ref="BA6:BA14" si="10">IF(AX6 = 0,-0.01,AY6/(AX6))</f>
        <v>-0.01</v>
      </c>
      <c r="BB6" s="22">
        <f t="shared" ref="BB6:BB14" si="11">IF(AX6 = 0,-0.01,AZ6/(AX6))</f>
        <v>-0.01</v>
      </c>
      <c r="BC6" s="21"/>
      <c r="BD6" s="21"/>
      <c r="BE6" s="21"/>
      <c r="BF6" s="21"/>
      <c r="BG6" s="26" t="str">
        <f t="shared" ref="BG6:BG14" si="12">IF(BC6=0,"",BE6/BC6)</f>
        <v/>
      </c>
      <c r="BH6" s="22" t="str">
        <f t="shared" ref="BH6:BH14" si="13">IF(BF6=0,"0%",BF6/BC6)</f>
        <v>0%</v>
      </c>
      <c r="BI6" s="22">
        <f t="shared" ref="BI6:BI14" si="14">IF(BC6 = 0,-0.01,(BC6-BE6-BF6)/BC6)</f>
        <v>-0.01</v>
      </c>
      <c r="BJ6" s="23">
        <f t="shared" ref="BJ6:BJ14" si="15">IF(BC6 = 0,-0.01,BD6/(BC6))</f>
        <v>-0.01</v>
      </c>
      <c r="BK6" s="25"/>
      <c r="BL6" s="25"/>
      <c r="BM6" s="21">
        <v>10</v>
      </c>
      <c r="BN6" s="21">
        <v>1</v>
      </c>
      <c r="BO6" s="21">
        <v>1</v>
      </c>
      <c r="BP6" s="22">
        <f t="shared" ref="BP6:BP14" si="16">IF(BM6 = 0,-0.01,BN6/(BM6))</f>
        <v>0.1</v>
      </c>
      <c r="BQ6" s="22">
        <f t="shared" ref="BQ6:BQ14" si="17">IF(BM6 = 0,-0.01,BO6/(BM6))</f>
        <v>0.1</v>
      </c>
      <c r="BR6" s="21">
        <v>3</v>
      </c>
      <c r="BS6" s="21">
        <v>1</v>
      </c>
      <c r="BT6" s="21">
        <v>3</v>
      </c>
      <c r="BU6" s="26">
        <f t="shared" ref="BU6:BU14" si="18">IF(BR6=0,"",BT6/BR6)</f>
        <v>1</v>
      </c>
      <c r="BV6" s="22">
        <f>IF(BR6=0,"",1 - (BT6/BR6))</f>
        <v>0</v>
      </c>
      <c r="BW6" s="23">
        <f>IF(BR6=0,"",BS6/BR6)</f>
        <v>0.33333333333333331</v>
      </c>
      <c r="BX6" s="19" t="s">
        <v>4</v>
      </c>
      <c r="BY6" s="20"/>
      <c r="BZ6" s="25"/>
      <c r="CA6" s="21"/>
      <c r="CB6" s="21"/>
      <c r="CC6" s="21"/>
      <c r="CD6" s="22">
        <f t="shared" ref="CD6:CD14" si="19">IF(CA6 = 0,-0.01,CB6/(CA6))</f>
        <v>-0.01</v>
      </c>
      <c r="CE6" s="22">
        <f t="shared" ref="CE6:CE14" si="20">IF(CA6 = 0,-0.01,CC6/(CA6))</f>
        <v>-0.01</v>
      </c>
      <c r="CF6" s="21"/>
      <c r="CG6" s="21"/>
      <c r="CH6" s="21"/>
      <c r="CI6" s="21"/>
      <c r="CJ6" s="22" t="str">
        <f t="shared" ref="CJ6:CJ14" si="21">IF(CF6=0,"",CH6/CF6)</f>
        <v/>
      </c>
      <c r="CK6" s="22" t="str">
        <f t="shared" ref="CK6:CK14" si="22">IF(CI6=0,"0%",CI6/CF6)</f>
        <v>0%</v>
      </c>
      <c r="CL6" s="22">
        <f t="shared" ref="CL6:CL14" si="23">IF(CF6 = 0,-0.01,(CF6-CH6-CI6)/CF6)</f>
        <v>-0.01</v>
      </c>
      <c r="CM6" s="23">
        <f t="shared" ref="CM6:CM14" si="24">IF(CF6 = 0,-0.01,CG6/(CF6))</f>
        <v>-0.01</v>
      </c>
    </row>
    <row r="7" spans="1:91" ht="25.5" customHeight="1" outlineLevel="1" x14ac:dyDescent="0.25">
      <c r="A7" s="2"/>
      <c r="B7" s="14" t="s">
        <v>6</v>
      </c>
      <c r="C7" s="27"/>
      <c r="D7" s="28"/>
      <c r="E7" s="28"/>
      <c r="F7" s="28"/>
      <c r="G7" s="28"/>
      <c r="H7" s="28"/>
      <c r="I7" s="29">
        <f t="shared" si="0"/>
        <v>-0.01</v>
      </c>
      <c r="J7" s="30">
        <f t="shared" si="1"/>
        <v>-0.01</v>
      </c>
      <c r="K7" s="27"/>
      <c r="L7" s="28" t="s">
        <v>38</v>
      </c>
      <c r="M7" s="16"/>
      <c r="N7" s="16"/>
      <c r="O7" s="16"/>
      <c r="P7" s="29">
        <f t="shared" si="2"/>
        <v>-0.01</v>
      </c>
      <c r="Q7" s="30">
        <f t="shared" si="3"/>
        <v>-0.01</v>
      </c>
      <c r="R7" s="31"/>
      <c r="S7" s="27"/>
      <c r="T7" s="28"/>
      <c r="U7" s="32" t="e">
        <f>IF((COUNTIF(#REF!, "finished") &gt; 0),0,T7)</f>
        <v>#REF!</v>
      </c>
      <c r="V7" s="28"/>
      <c r="W7" s="28"/>
      <c r="X7" s="17">
        <f t="shared" ref="X7:X14" si="25">IF(T7 = 0,-0.01,U7/(T7))</f>
        <v>-0.01</v>
      </c>
      <c r="Y7" s="18">
        <f t="shared" si="4"/>
        <v>-0.01</v>
      </c>
      <c r="Z7" s="27"/>
      <c r="AA7" s="28" t="s">
        <v>38</v>
      </c>
      <c r="AB7" s="28"/>
      <c r="AC7" s="28"/>
      <c r="AD7" s="28"/>
      <c r="AE7" s="29">
        <f t="shared" si="5"/>
        <v>-0.01</v>
      </c>
      <c r="AF7" s="30">
        <f t="shared" si="6"/>
        <v>-0.01</v>
      </c>
      <c r="AG7" s="31"/>
      <c r="AH7" s="15"/>
      <c r="AI7" s="34"/>
      <c r="AJ7" s="16"/>
      <c r="AK7" s="16"/>
      <c r="AL7" s="16"/>
      <c r="AM7" s="17">
        <f t="shared" si="7"/>
        <v>-0.01</v>
      </c>
      <c r="AN7" s="17">
        <f t="shared" si="8"/>
        <v>-0.01</v>
      </c>
      <c r="AO7" s="16"/>
      <c r="AP7" s="16"/>
      <c r="AQ7" s="16"/>
      <c r="AR7" s="35" t="str">
        <f t="shared" si="9"/>
        <v/>
      </c>
      <c r="AS7" s="17">
        <f>IF(AO7 = 0,-0.01,(AO7-AQ7-#REF!)/AO7)</f>
        <v>-0.01</v>
      </c>
      <c r="AT7" s="72">
        <f>IF(AO7 = 0,-0.01,#REF!/(AO7))</f>
        <v>-0.01</v>
      </c>
      <c r="AU7" s="31"/>
      <c r="AV7" s="27"/>
      <c r="AW7" s="33"/>
      <c r="AX7" s="16"/>
      <c r="AY7" s="16"/>
      <c r="AZ7" s="16"/>
      <c r="BA7" s="17">
        <f t="shared" si="10"/>
        <v>-0.01</v>
      </c>
      <c r="BB7" s="17">
        <f t="shared" si="11"/>
        <v>-0.01</v>
      </c>
      <c r="BC7" s="28"/>
      <c r="BD7" s="28"/>
      <c r="BE7" s="28"/>
      <c r="BF7" s="28"/>
      <c r="BG7" s="36" t="str">
        <f t="shared" si="12"/>
        <v/>
      </c>
      <c r="BH7" s="29" t="str">
        <f t="shared" si="13"/>
        <v>0%</v>
      </c>
      <c r="BI7" s="29">
        <f t="shared" si="14"/>
        <v>-0.01</v>
      </c>
      <c r="BJ7" s="30">
        <f t="shared" si="15"/>
        <v>-0.01</v>
      </c>
      <c r="BK7" s="34"/>
      <c r="BL7" s="34"/>
      <c r="BM7" s="16"/>
      <c r="BN7" s="16"/>
      <c r="BO7" s="16"/>
      <c r="BP7" s="17">
        <f t="shared" si="16"/>
        <v>-0.01</v>
      </c>
      <c r="BQ7" s="17">
        <f t="shared" si="17"/>
        <v>-0.01</v>
      </c>
      <c r="BR7" s="16"/>
      <c r="BS7" s="16"/>
      <c r="BT7" s="16"/>
      <c r="BU7" s="35" t="str">
        <f t="shared" si="18"/>
        <v/>
      </c>
      <c r="BV7" s="17">
        <f>IF(BR7 = 0,-0.01,(BR7-BT7-#REF!)/BR7)</f>
        <v>-0.01</v>
      </c>
      <c r="BW7" s="76">
        <f>IF(BR7 = 0,-0.01,#REF!/(BR7))</f>
        <v>-0.01</v>
      </c>
      <c r="BX7" s="37"/>
      <c r="BY7" s="27"/>
      <c r="BZ7" s="33"/>
      <c r="CA7" s="16"/>
      <c r="CB7" s="16"/>
      <c r="CC7" s="16"/>
      <c r="CD7" s="17">
        <f t="shared" si="19"/>
        <v>-0.01</v>
      </c>
      <c r="CE7" s="17">
        <f t="shared" si="20"/>
        <v>-0.01</v>
      </c>
      <c r="CF7" s="28"/>
      <c r="CG7" s="28"/>
      <c r="CH7" s="28"/>
      <c r="CI7" s="28"/>
      <c r="CJ7" s="29" t="str">
        <f t="shared" si="21"/>
        <v/>
      </c>
      <c r="CK7" s="29" t="str">
        <f t="shared" si="22"/>
        <v>0%</v>
      </c>
      <c r="CL7" s="29">
        <f t="shared" si="23"/>
        <v>-0.01</v>
      </c>
      <c r="CM7" s="30">
        <f t="shared" si="24"/>
        <v>-0.01</v>
      </c>
    </row>
    <row r="8" spans="1:91" ht="25.5" customHeight="1" outlineLevel="1" x14ac:dyDescent="0.25">
      <c r="A8" s="2"/>
      <c r="B8" s="14" t="s">
        <v>7</v>
      </c>
      <c r="C8" s="27"/>
      <c r="D8" s="28"/>
      <c r="E8" s="28"/>
      <c r="F8" s="28"/>
      <c r="G8" s="28"/>
      <c r="H8" s="28"/>
      <c r="I8" s="29">
        <f t="shared" si="0"/>
        <v>-0.01</v>
      </c>
      <c r="J8" s="30">
        <f t="shared" si="1"/>
        <v>-0.01</v>
      </c>
      <c r="K8" s="27"/>
      <c r="L8" s="28" t="s">
        <v>38</v>
      </c>
      <c r="M8" s="16"/>
      <c r="N8" s="16"/>
      <c r="O8" s="16"/>
      <c r="P8" s="29">
        <f t="shared" si="2"/>
        <v>-0.01</v>
      </c>
      <c r="Q8" s="30">
        <f t="shared" si="3"/>
        <v>-0.01</v>
      </c>
      <c r="R8" s="31"/>
      <c r="S8" s="27"/>
      <c r="T8" s="28"/>
      <c r="U8" s="32" t="e">
        <f>IF((COUNTIF(#REF!, "finished") &gt; 0),0,T8)</f>
        <v>#REF!</v>
      </c>
      <c r="V8" s="28"/>
      <c r="W8" s="28"/>
      <c r="X8" s="17">
        <f t="shared" si="25"/>
        <v>-0.01</v>
      </c>
      <c r="Y8" s="18">
        <f t="shared" si="4"/>
        <v>-0.01</v>
      </c>
      <c r="Z8" s="27"/>
      <c r="AA8" s="28" t="s">
        <v>38</v>
      </c>
      <c r="AB8" s="28"/>
      <c r="AC8" s="28"/>
      <c r="AD8" s="28"/>
      <c r="AE8" s="29">
        <f t="shared" si="5"/>
        <v>-0.01</v>
      </c>
      <c r="AF8" s="30">
        <f t="shared" si="6"/>
        <v>-0.01</v>
      </c>
      <c r="AG8" s="31"/>
      <c r="AH8" s="15"/>
      <c r="AI8" s="34"/>
      <c r="AJ8" s="16"/>
      <c r="AK8" s="16"/>
      <c r="AL8" s="16"/>
      <c r="AM8" s="17">
        <f t="shared" si="7"/>
        <v>-0.01</v>
      </c>
      <c r="AN8" s="17">
        <f t="shared" si="8"/>
        <v>-0.01</v>
      </c>
      <c r="AO8" s="16"/>
      <c r="AP8" s="16"/>
      <c r="AQ8" s="16"/>
      <c r="AR8" s="35" t="str">
        <f t="shared" si="9"/>
        <v/>
      </c>
      <c r="AS8" s="17">
        <f>IF(AO8 = 0,-0.01,(AO8-AQ8-#REF!)/AO8)</f>
        <v>-0.01</v>
      </c>
      <c r="AT8" s="73">
        <f>IF(AO8 = 0,-0.01,#REF!/(AO8))</f>
        <v>-0.01</v>
      </c>
      <c r="AU8" s="31"/>
      <c r="AV8" s="27"/>
      <c r="AW8" s="33"/>
      <c r="AX8" s="16"/>
      <c r="AY8" s="16"/>
      <c r="AZ8" s="16"/>
      <c r="BA8" s="17">
        <f t="shared" si="10"/>
        <v>-0.01</v>
      </c>
      <c r="BB8" s="17">
        <f t="shared" si="11"/>
        <v>-0.01</v>
      </c>
      <c r="BC8" s="28"/>
      <c r="BD8" s="28"/>
      <c r="BE8" s="28"/>
      <c r="BF8" s="28"/>
      <c r="BG8" s="36" t="str">
        <f t="shared" si="12"/>
        <v/>
      </c>
      <c r="BH8" s="29" t="str">
        <f t="shared" si="13"/>
        <v>0%</v>
      </c>
      <c r="BI8" s="29">
        <f t="shared" si="14"/>
        <v>-0.01</v>
      </c>
      <c r="BJ8" s="30">
        <f t="shared" si="15"/>
        <v>-0.01</v>
      </c>
      <c r="BK8" s="34"/>
      <c r="BL8" s="34"/>
      <c r="BM8" s="16"/>
      <c r="BN8" s="16"/>
      <c r="BO8" s="16"/>
      <c r="BP8" s="17">
        <f t="shared" si="16"/>
        <v>-0.01</v>
      </c>
      <c r="BQ8" s="17">
        <f t="shared" si="17"/>
        <v>-0.01</v>
      </c>
      <c r="BR8" s="16"/>
      <c r="BS8" s="16"/>
      <c r="BT8" s="16"/>
      <c r="BU8" s="35" t="str">
        <f t="shared" si="18"/>
        <v/>
      </c>
      <c r="BV8" s="17">
        <f>IF(BR8 = 0,-0.01,(BR8-BT8-#REF!)/BR8)</f>
        <v>-0.01</v>
      </c>
      <c r="BW8" s="72">
        <f>IF(BR8 = 0,-0.01,#REF!/(BR8))</f>
        <v>-0.01</v>
      </c>
      <c r="BX8" s="37"/>
      <c r="BY8" s="27"/>
      <c r="BZ8" s="33"/>
      <c r="CA8" s="16"/>
      <c r="CB8" s="16"/>
      <c r="CC8" s="16"/>
      <c r="CD8" s="17">
        <f t="shared" si="19"/>
        <v>-0.01</v>
      </c>
      <c r="CE8" s="17">
        <f t="shared" si="20"/>
        <v>-0.01</v>
      </c>
      <c r="CF8" s="28"/>
      <c r="CG8" s="28"/>
      <c r="CH8" s="28"/>
      <c r="CI8" s="28"/>
      <c r="CJ8" s="29" t="str">
        <f t="shared" si="21"/>
        <v/>
      </c>
      <c r="CK8" s="29" t="str">
        <f t="shared" si="22"/>
        <v>0%</v>
      </c>
      <c r="CL8" s="29">
        <f t="shared" si="23"/>
        <v>-0.01</v>
      </c>
      <c r="CM8" s="30">
        <f t="shared" si="24"/>
        <v>-0.01</v>
      </c>
    </row>
    <row r="9" spans="1:91" ht="25.2" customHeight="1" outlineLevel="1" thickBot="1" x14ac:dyDescent="0.3">
      <c r="A9" s="2"/>
      <c r="B9" s="14" t="s">
        <v>8</v>
      </c>
      <c r="C9" s="27"/>
      <c r="D9" s="28"/>
      <c r="E9" s="28"/>
      <c r="F9" s="28"/>
      <c r="G9" s="28"/>
      <c r="H9" s="28"/>
      <c r="I9" s="29">
        <f t="shared" si="0"/>
        <v>-0.01</v>
      </c>
      <c r="J9" s="30">
        <f t="shared" si="1"/>
        <v>-0.01</v>
      </c>
      <c r="K9" s="27"/>
      <c r="L9" s="28" t="s">
        <v>38</v>
      </c>
      <c r="M9" s="16"/>
      <c r="N9" s="16"/>
      <c r="O9" s="16"/>
      <c r="P9" s="29">
        <f t="shared" si="2"/>
        <v>-0.01</v>
      </c>
      <c r="Q9" s="30">
        <f t="shared" si="3"/>
        <v>-0.01</v>
      </c>
      <c r="R9" s="31"/>
      <c r="S9" s="27"/>
      <c r="T9" s="28"/>
      <c r="U9" s="32" t="e">
        <f>IF((COUNTIF(#REF!, "finished") &gt; 0),0,T9)</f>
        <v>#REF!</v>
      </c>
      <c r="V9" s="28"/>
      <c r="W9" s="28"/>
      <c r="X9" s="17">
        <f t="shared" si="25"/>
        <v>-0.01</v>
      </c>
      <c r="Y9" s="18">
        <f t="shared" si="4"/>
        <v>-0.01</v>
      </c>
      <c r="Z9" s="27"/>
      <c r="AA9" s="28" t="s">
        <v>38</v>
      </c>
      <c r="AB9" s="28"/>
      <c r="AC9" s="28"/>
      <c r="AD9" s="28"/>
      <c r="AE9" s="29">
        <f t="shared" si="5"/>
        <v>-0.01</v>
      </c>
      <c r="AF9" s="30">
        <f t="shared" si="6"/>
        <v>-0.01</v>
      </c>
      <c r="AG9" s="31"/>
      <c r="AH9" s="15"/>
      <c r="AI9" s="34"/>
      <c r="AJ9" s="16"/>
      <c r="AK9" s="16"/>
      <c r="AL9" s="16"/>
      <c r="AM9" s="17">
        <f t="shared" si="7"/>
        <v>-0.01</v>
      </c>
      <c r="AN9" s="17">
        <f t="shared" si="8"/>
        <v>-0.01</v>
      </c>
      <c r="AO9" s="16"/>
      <c r="AP9" s="16"/>
      <c r="AQ9" s="16"/>
      <c r="AR9" s="35" t="str">
        <f t="shared" si="9"/>
        <v/>
      </c>
      <c r="AS9" s="17">
        <f>IF(AO9 = 0,-0.01,(AO9-AQ9-#REF!)/AO9)</f>
        <v>-0.01</v>
      </c>
      <c r="AT9" s="74">
        <f>IF(AO9 = 0,-0.01,#REF!/(AO9))</f>
        <v>-0.01</v>
      </c>
      <c r="AU9" s="31"/>
      <c r="AV9" s="27"/>
      <c r="AW9" s="33"/>
      <c r="AX9" s="16"/>
      <c r="AY9" s="16"/>
      <c r="AZ9" s="16"/>
      <c r="BA9" s="17">
        <f t="shared" si="10"/>
        <v>-0.01</v>
      </c>
      <c r="BB9" s="17">
        <f t="shared" si="11"/>
        <v>-0.01</v>
      </c>
      <c r="BC9" s="28"/>
      <c r="BD9" s="28"/>
      <c r="BE9" s="28"/>
      <c r="BF9" s="28"/>
      <c r="BG9" s="36" t="str">
        <f t="shared" si="12"/>
        <v/>
      </c>
      <c r="BH9" s="29" t="str">
        <f t="shared" si="13"/>
        <v>0%</v>
      </c>
      <c r="BI9" s="29">
        <f t="shared" si="14"/>
        <v>-0.01</v>
      </c>
      <c r="BJ9" s="30">
        <f t="shared" si="15"/>
        <v>-0.01</v>
      </c>
      <c r="BK9" s="34"/>
      <c r="BL9" s="34"/>
      <c r="BM9" s="16"/>
      <c r="BN9" s="16"/>
      <c r="BO9" s="16"/>
      <c r="BP9" s="17">
        <f t="shared" si="16"/>
        <v>-0.01</v>
      </c>
      <c r="BQ9" s="17">
        <f t="shared" si="17"/>
        <v>-0.01</v>
      </c>
      <c r="BR9" s="16"/>
      <c r="BS9" s="16"/>
      <c r="BT9" s="16"/>
      <c r="BU9" s="35" t="str">
        <f t="shared" si="18"/>
        <v/>
      </c>
      <c r="BV9" s="17">
        <f>IF(BR9 = 0,-0.01,(BR9-BT9-#REF!)/BR9)</f>
        <v>-0.01</v>
      </c>
      <c r="BW9" s="76">
        <f>IF(BR9 = 0,-0.01,#REF!/(BR9))</f>
        <v>-0.01</v>
      </c>
      <c r="BX9" s="37"/>
      <c r="BY9" s="27"/>
      <c r="BZ9" s="33"/>
      <c r="CA9" s="16"/>
      <c r="CB9" s="16"/>
      <c r="CC9" s="16"/>
      <c r="CD9" s="17">
        <f t="shared" si="19"/>
        <v>-0.01</v>
      </c>
      <c r="CE9" s="17">
        <f t="shared" si="20"/>
        <v>-0.01</v>
      </c>
      <c r="CF9" s="28"/>
      <c r="CG9" s="28"/>
      <c r="CH9" s="28"/>
      <c r="CI9" s="28"/>
      <c r="CJ9" s="29" t="str">
        <f t="shared" si="21"/>
        <v/>
      </c>
      <c r="CK9" s="29" t="str">
        <f t="shared" si="22"/>
        <v>0%</v>
      </c>
      <c r="CL9" s="29">
        <f t="shared" si="23"/>
        <v>-0.01</v>
      </c>
      <c r="CM9" s="30">
        <f t="shared" si="24"/>
        <v>-0.01</v>
      </c>
    </row>
    <row r="10" spans="1:91" ht="25.5" hidden="1" customHeight="1" outlineLevel="1" thickBot="1" x14ac:dyDescent="0.3">
      <c r="A10" s="3"/>
      <c r="B10" s="53" t="s">
        <v>27</v>
      </c>
      <c r="C10" s="20"/>
      <c r="D10" s="21"/>
      <c r="E10" s="21"/>
      <c r="F10" s="21"/>
      <c r="G10" s="21"/>
      <c r="H10" s="21"/>
      <c r="I10" s="22">
        <f t="shared" si="0"/>
        <v>-0.01</v>
      </c>
      <c r="J10" s="23">
        <f t="shared" si="1"/>
        <v>-0.01</v>
      </c>
      <c r="K10" s="20"/>
      <c r="L10" s="21" t="s">
        <v>38</v>
      </c>
      <c r="M10" s="21"/>
      <c r="N10" s="21"/>
      <c r="O10" s="21"/>
      <c r="P10" s="22">
        <f t="shared" si="2"/>
        <v>-0.01</v>
      </c>
      <c r="Q10" s="23">
        <f t="shared" si="3"/>
        <v>-0.01</v>
      </c>
      <c r="R10" s="19"/>
      <c r="S10" s="20"/>
      <c r="T10" s="21"/>
      <c r="U10" s="24" t="e">
        <f>IF((COUNTIF(#REF!, "finished") &gt; 0),0,T10)</f>
        <v>#REF!</v>
      </c>
      <c r="V10" s="21"/>
      <c r="W10" s="21"/>
      <c r="X10" s="22">
        <f t="shared" si="25"/>
        <v>-0.01</v>
      </c>
      <c r="Y10" s="23">
        <f t="shared" si="4"/>
        <v>-0.01</v>
      </c>
      <c r="Z10" s="20"/>
      <c r="AA10" s="21" t="s">
        <v>38</v>
      </c>
      <c r="AB10" s="21"/>
      <c r="AC10" s="21"/>
      <c r="AD10" s="21"/>
      <c r="AE10" s="22">
        <f t="shared" si="5"/>
        <v>-0.01</v>
      </c>
      <c r="AF10" s="23">
        <f t="shared" si="6"/>
        <v>-0.01</v>
      </c>
      <c r="AG10" s="19"/>
      <c r="AH10" s="20"/>
      <c r="AI10" s="25"/>
      <c r="AJ10" s="21"/>
      <c r="AK10" s="21"/>
      <c r="AL10" s="21"/>
      <c r="AM10" s="22">
        <f t="shared" si="7"/>
        <v>-0.01</v>
      </c>
      <c r="AN10" s="22">
        <f t="shared" si="8"/>
        <v>-0.01</v>
      </c>
      <c r="AO10" s="21"/>
      <c r="AP10" s="21"/>
      <c r="AQ10" s="21"/>
      <c r="AR10" s="26" t="str">
        <f t="shared" si="9"/>
        <v/>
      </c>
      <c r="AS10" s="22">
        <f>IF(AO10 = 0,-0.01,(AO10-AQ10-#REF!)/AO10)</f>
        <v>-0.01</v>
      </c>
      <c r="AT10" s="73">
        <f>IF(AO10 = 0,-0.01,#REF!/(AO10))</f>
        <v>-0.01</v>
      </c>
      <c r="AU10" s="19"/>
      <c r="AV10" s="20"/>
      <c r="AW10" s="25"/>
      <c r="AX10" s="21"/>
      <c r="AY10" s="21"/>
      <c r="AZ10" s="21"/>
      <c r="BA10" s="22">
        <f t="shared" si="10"/>
        <v>-0.01</v>
      </c>
      <c r="BB10" s="22">
        <f t="shared" si="11"/>
        <v>-0.01</v>
      </c>
      <c r="BC10" s="21"/>
      <c r="BD10" s="21"/>
      <c r="BE10" s="21"/>
      <c r="BF10" s="21"/>
      <c r="BG10" s="26" t="str">
        <f t="shared" si="12"/>
        <v/>
      </c>
      <c r="BH10" s="22" t="str">
        <f t="shared" si="13"/>
        <v>0%</v>
      </c>
      <c r="BI10" s="22">
        <f t="shared" si="14"/>
        <v>-0.01</v>
      </c>
      <c r="BJ10" s="23">
        <f t="shared" si="15"/>
        <v>-0.01</v>
      </c>
      <c r="BK10" s="25"/>
      <c r="BL10" s="25"/>
      <c r="BM10" s="21"/>
      <c r="BN10" s="21"/>
      <c r="BO10" s="21"/>
      <c r="BP10" s="22">
        <f t="shared" si="16"/>
        <v>-0.01</v>
      </c>
      <c r="BQ10" s="22">
        <f t="shared" si="17"/>
        <v>-0.01</v>
      </c>
      <c r="BR10" s="21"/>
      <c r="BS10" s="21"/>
      <c r="BT10" s="21"/>
      <c r="BU10" s="26" t="str">
        <f t="shared" si="18"/>
        <v/>
      </c>
      <c r="BV10" s="22">
        <f>IF(BR10 = 0,-0.01,(BR10-BT10-#REF!)/BR10)</f>
        <v>-0.01</v>
      </c>
      <c r="BW10" s="76">
        <f>IF(BR10 = 0,-0.01,#REF!/(BR10))</f>
        <v>-0.01</v>
      </c>
      <c r="BX10" s="19"/>
      <c r="BY10" s="20"/>
      <c r="BZ10" s="25"/>
      <c r="CA10" s="21"/>
      <c r="CB10" s="21"/>
      <c r="CC10" s="21"/>
      <c r="CD10" s="22">
        <f t="shared" si="19"/>
        <v>-0.01</v>
      </c>
      <c r="CE10" s="22">
        <f t="shared" si="20"/>
        <v>-0.01</v>
      </c>
      <c r="CF10" s="21"/>
      <c r="CG10" s="21"/>
      <c r="CH10" s="21"/>
      <c r="CI10" s="21"/>
      <c r="CJ10" s="22" t="str">
        <f t="shared" si="21"/>
        <v/>
      </c>
      <c r="CK10" s="22" t="str">
        <f t="shared" si="22"/>
        <v>0%</v>
      </c>
      <c r="CL10" s="22">
        <f t="shared" si="23"/>
        <v>-0.01</v>
      </c>
      <c r="CM10" s="23">
        <f t="shared" si="24"/>
        <v>-0.01</v>
      </c>
    </row>
    <row r="11" spans="1:91" ht="25.5" hidden="1" customHeight="1" outlineLevel="1" thickBot="1" x14ac:dyDescent="0.3">
      <c r="A11" s="3"/>
      <c r="B11" s="14" t="s">
        <v>29</v>
      </c>
      <c r="C11" s="27"/>
      <c r="D11" s="28"/>
      <c r="E11" s="28"/>
      <c r="F11" s="28"/>
      <c r="G11" s="28"/>
      <c r="H11" s="28"/>
      <c r="I11" s="29">
        <f t="shared" si="0"/>
        <v>-0.01</v>
      </c>
      <c r="J11" s="30">
        <f t="shared" si="1"/>
        <v>-0.01</v>
      </c>
      <c r="K11" s="27"/>
      <c r="L11" s="28" t="s">
        <v>38</v>
      </c>
      <c r="M11" s="28"/>
      <c r="N11" s="28"/>
      <c r="O11" s="28"/>
      <c r="P11" s="29">
        <f t="shared" si="2"/>
        <v>-0.01</v>
      </c>
      <c r="Q11" s="30">
        <f t="shared" si="3"/>
        <v>-0.01</v>
      </c>
      <c r="R11" s="31"/>
      <c r="S11" s="27"/>
      <c r="T11" s="28"/>
      <c r="U11" s="32" t="e">
        <f>IF((COUNTIF(#REF!, "finished") &gt; 0),0,T11)</f>
        <v>#REF!</v>
      </c>
      <c r="V11" s="28"/>
      <c r="W11" s="28"/>
      <c r="X11" s="17">
        <f t="shared" si="25"/>
        <v>-0.01</v>
      </c>
      <c r="Y11" s="18">
        <f t="shared" si="4"/>
        <v>-0.01</v>
      </c>
      <c r="Z11" s="27"/>
      <c r="AA11" s="28" t="s">
        <v>38</v>
      </c>
      <c r="AB11" s="28"/>
      <c r="AC11" s="28"/>
      <c r="AD11" s="28"/>
      <c r="AE11" s="29">
        <f t="shared" si="5"/>
        <v>-0.01</v>
      </c>
      <c r="AF11" s="30">
        <f t="shared" si="6"/>
        <v>-0.01</v>
      </c>
      <c r="AG11" s="31"/>
      <c r="AH11" s="15"/>
      <c r="AI11" s="34"/>
      <c r="AJ11" s="16"/>
      <c r="AK11" s="16"/>
      <c r="AL11" s="16"/>
      <c r="AM11" s="17">
        <f t="shared" si="7"/>
        <v>-0.01</v>
      </c>
      <c r="AN11" s="17">
        <f t="shared" si="8"/>
        <v>-0.01</v>
      </c>
      <c r="AO11" s="16"/>
      <c r="AP11" s="16"/>
      <c r="AQ11" s="16"/>
      <c r="AR11" s="35" t="str">
        <f t="shared" si="9"/>
        <v/>
      </c>
      <c r="AS11" s="17">
        <f>IF(AO11 = 0,-0.01,(AO11-AQ11-#REF!)/AO11)</f>
        <v>-0.01</v>
      </c>
      <c r="AT11" s="73">
        <f>IF(AO11 = 0,-0.01,#REF!/(AO11))</f>
        <v>-0.01</v>
      </c>
      <c r="AU11" s="31"/>
      <c r="AV11" s="27"/>
      <c r="AW11" s="33"/>
      <c r="AX11" s="16"/>
      <c r="AY11" s="16"/>
      <c r="AZ11" s="16"/>
      <c r="BA11" s="17">
        <f t="shared" si="10"/>
        <v>-0.01</v>
      </c>
      <c r="BB11" s="17">
        <f t="shared" si="11"/>
        <v>-0.01</v>
      </c>
      <c r="BC11" s="28"/>
      <c r="BD11" s="28"/>
      <c r="BE11" s="28"/>
      <c r="BF11" s="28"/>
      <c r="BG11" s="36" t="str">
        <f t="shared" si="12"/>
        <v/>
      </c>
      <c r="BH11" s="29" t="str">
        <f t="shared" si="13"/>
        <v>0%</v>
      </c>
      <c r="BI11" s="29">
        <f t="shared" si="14"/>
        <v>-0.01</v>
      </c>
      <c r="BJ11" s="30">
        <f t="shared" si="15"/>
        <v>-0.01</v>
      </c>
      <c r="BK11" s="34"/>
      <c r="BL11" s="34"/>
      <c r="BM11" s="16"/>
      <c r="BN11" s="16"/>
      <c r="BO11" s="16"/>
      <c r="BP11" s="17">
        <f t="shared" si="16"/>
        <v>-0.01</v>
      </c>
      <c r="BQ11" s="17">
        <f t="shared" si="17"/>
        <v>-0.01</v>
      </c>
      <c r="BR11" s="16"/>
      <c r="BS11" s="16"/>
      <c r="BT11" s="16"/>
      <c r="BU11" s="35" t="str">
        <f t="shared" si="18"/>
        <v/>
      </c>
      <c r="BV11" s="17">
        <f>IF(BR11 = 0,-0.01,(BR11-BT11-#REF!)/BR11)</f>
        <v>-0.01</v>
      </c>
      <c r="BW11" s="72">
        <f>IF(BR11 = 0,-0.01,#REF!/(BR11))</f>
        <v>-0.01</v>
      </c>
      <c r="BX11" s="31"/>
      <c r="BY11" s="27"/>
      <c r="BZ11" s="33"/>
      <c r="CA11" s="16"/>
      <c r="CB11" s="16"/>
      <c r="CC11" s="16"/>
      <c r="CD11" s="17">
        <f t="shared" si="19"/>
        <v>-0.01</v>
      </c>
      <c r="CE11" s="17">
        <f t="shared" si="20"/>
        <v>-0.01</v>
      </c>
      <c r="CF11" s="28"/>
      <c r="CG11" s="28"/>
      <c r="CH11" s="28"/>
      <c r="CI11" s="28"/>
      <c r="CJ11" s="29" t="str">
        <f t="shared" si="21"/>
        <v/>
      </c>
      <c r="CK11" s="29" t="str">
        <f t="shared" si="22"/>
        <v>0%</v>
      </c>
      <c r="CL11" s="29">
        <f t="shared" si="23"/>
        <v>-0.01</v>
      </c>
      <c r="CM11" s="30">
        <f t="shared" si="24"/>
        <v>-0.01</v>
      </c>
    </row>
    <row r="12" spans="1:91" ht="25.5" hidden="1" customHeight="1" outlineLevel="1" thickBot="1" x14ac:dyDescent="0.3">
      <c r="A12" s="3"/>
      <c r="B12" s="14" t="s">
        <v>28</v>
      </c>
      <c r="C12" s="27"/>
      <c r="D12" s="28"/>
      <c r="E12" s="28"/>
      <c r="F12" s="28"/>
      <c r="G12" s="28"/>
      <c r="H12" s="28"/>
      <c r="I12" s="29">
        <f t="shared" si="0"/>
        <v>-0.01</v>
      </c>
      <c r="J12" s="30">
        <f t="shared" si="1"/>
        <v>-0.01</v>
      </c>
      <c r="K12" s="27"/>
      <c r="L12" s="28" t="s">
        <v>38</v>
      </c>
      <c r="M12" s="28"/>
      <c r="N12" s="28"/>
      <c r="O12" s="28"/>
      <c r="P12" s="29">
        <f t="shared" si="2"/>
        <v>-0.01</v>
      </c>
      <c r="Q12" s="30">
        <f t="shared" si="3"/>
        <v>-0.01</v>
      </c>
      <c r="R12" s="31"/>
      <c r="S12" s="27"/>
      <c r="T12" s="28"/>
      <c r="U12" s="32" t="e">
        <f>IF((COUNTIF(#REF!, "finished") &gt; 0),0,T12)</f>
        <v>#REF!</v>
      </c>
      <c r="V12" s="28"/>
      <c r="W12" s="28"/>
      <c r="X12" s="17">
        <f t="shared" si="25"/>
        <v>-0.01</v>
      </c>
      <c r="Y12" s="18">
        <f t="shared" si="4"/>
        <v>-0.01</v>
      </c>
      <c r="Z12" s="27"/>
      <c r="AA12" s="28" t="s">
        <v>38</v>
      </c>
      <c r="AB12" s="28"/>
      <c r="AC12" s="28"/>
      <c r="AD12" s="28"/>
      <c r="AE12" s="29">
        <f t="shared" si="5"/>
        <v>-0.01</v>
      </c>
      <c r="AF12" s="30">
        <f t="shared" si="6"/>
        <v>-0.01</v>
      </c>
      <c r="AG12" s="31"/>
      <c r="AH12" s="15"/>
      <c r="AI12" s="34"/>
      <c r="AJ12" s="16"/>
      <c r="AK12" s="16"/>
      <c r="AL12" s="16"/>
      <c r="AM12" s="17">
        <f t="shared" si="7"/>
        <v>-0.01</v>
      </c>
      <c r="AN12" s="17">
        <f t="shared" si="8"/>
        <v>-0.01</v>
      </c>
      <c r="AO12" s="16"/>
      <c r="AP12" s="16"/>
      <c r="AQ12" s="16"/>
      <c r="AR12" s="35" t="str">
        <f t="shared" si="9"/>
        <v/>
      </c>
      <c r="AS12" s="17">
        <f>IF(AO12 = 0,-0.01,(AO12-AQ12-#REF!)/AO12)</f>
        <v>-0.01</v>
      </c>
      <c r="AT12" s="76">
        <f>IF(AO12 = 0,-0.01,#REF!/(AO12))</f>
        <v>-0.01</v>
      </c>
      <c r="AU12" s="31"/>
      <c r="AV12" s="27"/>
      <c r="AW12" s="33"/>
      <c r="AX12" s="16"/>
      <c r="AY12" s="16"/>
      <c r="AZ12" s="16"/>
      <c r="BA12" s="17">
        <f t="shared" si="10"/>
        <v>-0.01</v>
      </c>
      <c r="BB12" s="17">
        <f t="shared" si="11"/>
        <v>-0.01</v>
      </c>
      <c r="BC12" s="28"/>
      <c r="BD12" s="28"/>
      <c r="BE12" s="28"/>
      <c r="BF12" s="28"/>
      <c r="BG12" s="36" t="str">
        <f t="shared" si="12"/>
        <v/>
      </c>
      <c r="BH12" s="29" t="str">
        <f t="shared" si="13"/>
        <v>0%</v>
      </c>
      <c r="BI12" s="29">
        <f t="shared" si="14"/>
        <v>-0.01</v>
      </c>
      <c r="BJ12" s="30">
        <f t="shared" si="15"/>
        <v>-0.01</v>
      </c>
      <c r="BK12" s="34"/>
      <c r="BL12" s="34"/>
      <c r="BM12" s="16"/>
      <c r="BN12" s="16"/>
      <c r="BO12" s="16"/>
      <c r="BP12" s="17">
        <f t="shared" si="16"/>
        <v>-0.01</v>
      </c>
      <c r="BQ12" s="17">
        <f t="shared" si="17"/>
        <v>-0.01</v>
      </c>
      <c r="BR12" s="16"/>
      <c r="BS12" s="16"/>
      <c r="BT12" s="16"/>
      <c r="BU12" s="35" t="str">
        <f t="shared" si="18"/>
        <v/>
      </c>
      <c r="BV12" s="17">
        <f>IF(BR12 = 0,-0.01,(BR12-BT12-#REF!)/BR12)</f>
        <v>-0.01</v>
      </c>
      <c r="BW12" s="76">
        <f>IF(BR12 = 0,-0.01,#REF!/(BR12))</f>
        <v>-0.01</v>
      </c>
      <c r="BX12" s="31"/>
      <c r="BY12" s="27"/>
      <c r="BZ12" s="33"/>
      <c r="CA12" s="16"/>
      <c r="CB12" s="16"/>
      <c r="CC12" s="16"/>
      <c r="CD12" s="17">
        <f t="shared" si="19"/>
        <v>-0.01</v>
      </c>
      <c r="CE12" s="17">
        <f t="shared" si="20"/>
        <v>-0.01</v>
      </c>
      <c r="CF12" s="28"/>
      <c r="CG12" s="28"/>
      <c r="CH12" s="28"/>
      <c r="CI12" s="28"/>
      <c r="CJ12" s="29" t="str">
        <f t="shared" si="21"/>
        <v/>
      </c>
      <c r="CK12" s="29" t="str">
        <f t="shared" si="22"/>
        <v>0%</v>
      </c>
      <c r="CL12" s="29">
        <f t="shared" si="23"/>
        <v>-0.01</v>
      </c>
      <c r="CM12" s="30">
        <f t="shared" si="24"/>
        <v>-0.01</v>
      </c>
    </row>
    <row r="13" spans="1:91" ht="25.5" hidden="1" customHeight="1" thickBot="1" x14ac:dyDescent="0.3">
      <c r="A13" s="3"/>
      <c r="B13" s="39" t="s">
        <v>26</v>
      </c>
      <c r="C13" s="54"/>
      <c r="D13" s="55"/>
      <c r="E13" s="55"/>
      <c r="F13" s="55"/>
      <c r="G13" s="55"/>
      <c r="H13" s="55"/>
      <c r="I13" s="40">
        <f t="shared" si="0"/>
        <v>-0.01</v>
      </c>
      <c r="J13" s="41">
        <f t="shared" si="1"/>
        <v>-0.01</v>
      </c>
      <c r="K13" s="54"/>
      <c r="L13" s="55"/>
      <c r="M13" s="55"/>
      <c r="N13" s="55"/>
      <c r="O13" s="55"/>
      <c r="P13" s="40">
        <f t="shared" si="2"/>
        <v>-0.01</v>
      </c>
      <c r="Q13" s="41">
        <f t="shared" si="3"/>
        <v>-0.01</v>
      </c>
      <c r="R13" s="42"/>
      <c r="S13" s="48"/>
      <c r="T13" s="46"/>
      <c r="U13" s="43" t="e">
        <f>IF((COUNTIF(#REF!, "finished") &gt; 0),0,T13)</f>
        <v>#REF!</v>
      </c>
      <c r="V13" s="46"/>
      <c r="W13" s="46"/>
      <c r="X13" s="44">
        <f t="shared" si="25"/>
        <v>-0.01</v>
      </c>
      <c r="Y13" s="45">
        <f t="shared" si="4"/>
        <v>-0.01</v>
      </c>
      <c r="Z13" s="54"/>
      <c r="AA13" s="55"/>
      <c r="AB13" s="55"/>
      <c r="AC13" s="55"/>
      <c r="AD13" s="55"/>
      <c r="AE13" s="40">
        <f t="shared" si="5"/>
        <v>-0.01</v>
      </c>
      <c r="AF13" s="41">
        <f t="shared" si="6"/>
        <v>-0.01</v>
      </c>
      <c r="AG13" s="42"/>
      <c r="AH13" s="48"/>
      <c r="AI13" s="49"/>
      <c r="AJ13" s="50"/>
      <c r="AK13" s="50"/>
      <c r="AL13" s="50"/>
      <c r="AM13" s="44">
        <f t="shared" si="7"/>
        <v>-0.01</v>
      </c>
      <c r="AN13" s="44">
        <f t="shared" si="8"/>
        <v>-0.01</v>
      </c>
      <c r="AO13" s="50"/>
      <c r="AP13" s="50"/>
      <c r="AQ13" s="50"/>
      <c r="AR13" s="51" t="str">
        <f t="shared" si="9"/>
        <v/>
      </c>
      <c r="AS13" s="44">
        <f>IF(AO13 = 0,-0.01,(AO13-AQ13-#REF!)/AO13)</f>
        <v>-0.01</v>
      </c>
      <c r="AT13" s="74">
        <f>IF(AO13 = 0,-0.01,#REF!/(AO13))</f>
        <v>-0.01</v>
      </c>
      <c r="AU13" s="47"/>
      <c r="AV13" s="48"/>
      <c r="AW13" s="49"/>
      <c r="AX13" s="46"/>
      <c r="AY13" s="46"/>
      <c r="AZ13" s="46"/>
      <c r="BA13" s="44">
        <f>IF(AX13 = 0,-0.01,AY13/(AX13))</f>
        <v>-0.01</v>
      </c>
      <c r="BB13" s="44">
        <f>IF(AX13 = 0,-0.01,AZ13/(AX13))</f>
        <v>-0.01</v>
      </c>
      <c r="BC13" s="50"/>
      <c r="BD13" s="50"/>
      <c r="BE13" s="50"/>
      <c r="BF13" s="50"/>
      <c r="BG13" s="52" t="str">
        <f t="shared" si="12"/>
        <v/>
      </c>
      <c r="BH13" s="40" t="str">
        <f t="shared" si="13"/>
        <v>0%</v>
      </c>
      <c r="BI13" s="40">
        <f t="shared" si="14"/>
        <v>-0.01</v>
      </c>
      <c r="BJ13" s="41">
        <f t="shared" si="15"/>
        <v>-0.01</v>
      </c>
      <c r="BK13" s="49"/>
      <c r="BL13" s="49"/>
      <c r="BM13" s="50"/>
      <c r="BN13" s="50"/>
      <c r="BO13" s="50"/>
      <c r="BP13" s="44">
        <f>IF(BM13 = 0,-0.01,BN13/(BM13))</f>
        <v>-0.01</v>
      </c>
      <c r="BQ13" s="44">
        <f>IF(BM13 = 0,-0.01,BO13/(BM13))</f>
        <v>-0.01</v>
      </c>
      <c r="BR13" s="50"/>
      <c r="BS13" s="50"/>
      <c r="BT13" s="50"/>
      <c r="BU13" s="51" t="str">
        <f t="shared" si="18"/>
        <v/>
      </c>
      <c r="BV13" s="44">
        <f>IF(BR13 = 0,-0.01,(BR13-BT13-#REF!)/BR13)</f>
        <v>-0.01</v>
      </c>
      <c r="BW13" s="75">
        <f>IF(BR13 = 0,-0.01,#REF!/(BR13))</f>
        <v>-0.01</v>
      </c>
      <c r="BX13" s="47"/>
      <c r="BY13" s="48"/>
      <c r="BZ13" s="49"/>
      <c r="CA13" s="46"/>
      <c r="CB13" s="46"/>
      <c r="CC13" s="46"/>
      <c r="CD13" s="44">
        <f>IF(CA13 = 0,-0.01,CB13/(CA13))</f>
        <v>-0.01</v>
      </c>
      <c r="CE13" s="44">
        <f>IF(CA13 = 0,-0.01,CC13/(CA13))</f>
        <v>-0.01</v>
      </c>
      <c r="CF13" s="50"/>
      <c r="CG13" s="50"/>
      <c r="CH13" s="50"/>
      <c r="CI13" s="50"/>
      <c r="CJ13" s="40" t="str">
        <f t="shared" si="21"/>
        <v/>
      </c>
      <c r="CK13" s="40" t="str">
        <f t="shared" si="22"/>
        <v>0%</v>
      </c>
      <c r="CL13" s="40">
        <f>IF(CF13 = 0,-0.01,(CF13-CH13-CI13)/CF13)</f>
        <v>-0.01</v>
      </c>
      <c r="CM13" s="41">
        <f>IF(CF13 = 0,-0.01,CG13/(CF13))</f>
        <v>-0.01</v>
      </c>
    </row>
    <row r="14" spans="1:91" ht="25.5" customHeight="1" thickBot="1" x14ac:dyDescent="0.3">
      <c r="A14" s="38"/>
      <c r="B14" s="58" t="s">
        <v>11</v>
      </c>
      <c r="C14" s="59"/>
      <c r="D14" s="60"/>
      <c r="E14" s="60"/>
      <c r="F14" s="60"/>
      <c r="G14" s="60"/>
      <c r="H14" s="60"/>
      <c r="I14" s="56">
        <f t="shared" si="0"/>
        <v>-0.01</v>
      </c>
      <c r="J14" s="57">
        <f t="shared" si="1"/>
        <v>-0.01</v>
      </c>
      <c r="K14" s="59"/>
      <c r="L14" s="60" t="s">
        <v>38</v>
      </c>
      <c r="M14" s="62"/>
      <c r="N14" s="62"/>
      <c r="O14" s="62"/>
      <c r="P14" s="56">
        <f t="shared" si="2"/>
        <v>-0.01</v>
      </c>
      <c r="Q14" s="57">
        <f t="shared" si="3"/>
        <v>-0.01</v>
      </c>
      <c r="R14" s="61"/>
      <c r="S14" s="59"/>
      <c r="T14" s="62"/>
      <c r="U14" s="63" t="e">
        <f>IF((COUNTIF(#REF!, "finished") &gt; 0),0,T14)</f>
        <v>#REF!</v>
      </c>
      <c r="V14" s="62"/>
      <c r="W14" s="62"/>
      <c r="X14" s="56">
        <f t="shared" si="25"/>
        <v>-0.01</v>
      </c>
      <c r="Y14" s="64">
        <f t="shared" si="4"/>
        <v>-0.01</v>
      </c>
      <c r="Z14" s="59"/>
      <c r="AA14" s="60" t="s">
        <v>38</v>
      </c>
      <c r="AB14" s="60"/>
      <c r="AC14" s="60"/>
      <c r="AD14" s="60"/>
      <c r="AE14" s="56">
        <f t="shared" si="5"/>
        <v>-0.01</v>
      </c>
      <c r="AF14" s="57">
        <f t="shared" si="6"/>
        <v>-0.01</v>
      </c>
      <c r="AG14" s="61"/>
      <c r="AH14" s="59"/>
      <c r="AI14" s="60"/>
      <c r="AJ14" s="62"/>
      <c r="AK14" s="62"/>
      <c r="AL14" s="62"/>
      <c r="AM14" s="56">
        <f t="shared" si="7"/>
        <v>-0.01</v>
      </c>
      <c r="AN14" s="56">
        <f t="shared" si="8"/>
        <v>-0.01</v>
      </c>
      <c r="AO14" s="62"/>
      <c r="AP14" s="62"/>
      <c r="AQ14" s="62"/>
      <c r="AR14" s="65" t="str">
        <f t="shared" si="9"/>
        <v/>
      </c>
      <c r="AS14" s="56">
        <f>IF(AO14 = 0,-0.01,(AO14-AQ14-#REF!)/AO14)</f>
        <v>-0.01</v>
      </c>
      <c r="AT14" s="77">
        <f>IF(AO14 = 0,-0.01,#REF!/(AO14))</f>
        <v>-0.01</v>
      </c>
      <c r="AU14" s="61"/>
      <c r="AV14" s="59"/>
      <c r="AW14" s="60"/>
      <c r="AX14" s="62"/>
      <c r="AY14" s="62"/>
      <c r="AZ14" s="62"/>
      <c r="BA14" s="56">
        <f t="shared" si="10"/>
        <v>-0.01</v>
      </c>
      <c r="BB14" s="56">
        <f t="shared" si="11"/>
        <v>-0.01</v>
      </c>
      <c r="BC14" s="62"/>
      <c r="BD14" s="62"/>
      <c r="BE14" s="62"/>
      <c r="BF14" s="62"/>
      <c r="BG14" s="65" t="str">
        <f t="shared" si="12"/>
        <v/>
      </c>
      <c r="BH14" s="56" t="str">
        <f t="shared" si="13"/>
        <v>0%</v>
      </c>
      <c r="BI14" s="56">
        <f t="shared" si="14"/>
        <v>-0.01</v>
      </c>
      <c r="BJ14" s="64">
        <f t="shared" si="15"/>
        <v>-0.01</v>
      </c>
      <c r="BK14" s="59"/>
      <c r="BL14" s="60"/>
      <c r="BM14" s="62"/>
      <c r="BN14" s="62"/>
      <c r="BO14" s="62"/>
      <c r="BP14" s="56">
        <f t="shared" si="16"/>
        <v>-0.01</v>
      </c>
      <c r="BQ14" s="56">
        <f t="shared" si="17"/>
        <v>-0.01</v>
      </c>
      <c r="BR14" s="62"/>
      <c r="BS14" s="62"/>
      <c r="BT14" s="62"/>
      <c r="BU14" s="65" t="str">
        <f t="shared" si="18"/>
        <v/>
      </c>
      <c r="BV14" s="56">
        <f>IF(BR14 = 0,-0.01,(BR14-BT14-#REF!)/BR14)</f>
        <v>-0.01</v>
      </c>
      <c r="BW14" s="64">
        <f>IF(BR14 = 0,-0.01,#REF!/(BR14))</f>
        <v>-0.01</v>
      </c>
      <c r="BX14" s="61"/>
      <c r="BY14" s="59"/>
      <c r="BZ14" s="60"/>
      <c r="CA14" s="62"/>
      <c r="CB14" s="62"/>
      <c r="CC14" s="62"/>
      <c r="CD14" s="56">
        <f t="shared" si="19"/>
        <v>-0.01</v>
      </c>
      <c r="CE14" s="56">
        <f t="shared" si="20"/>
        <v>-0.01</v>
      </c>
      <c r="CF14" s="62"/>
      <c r="CG14" s="62"/>
      <c r="CH14" s="62"/>
      <c r="CI14" s="62"/>
      <c r="CJ14" s="56" t="str">
        <f t="shared" si="21"/>
        <v/>
      </c>
      <c r="CK14" s="56" t="str">
        <f t="shared" si="22"/>
        <v>0%</v>
      </c>
      <c r="CL14" s="56">
        <f t="shared" si="23"/>
        <v>-0.01</v>
      </c>
      <c r="CM14" s="64">
        <f t="shared" si="24"/>
        <v>-0.01</v>
      </c>
    </row>
    <row r="15" spans="1:91" ht="35.25" customHeight="1" thickBot="1" x14ac:dyDescent="0.3">
      <c r="B15" s="66" t="s">
        <v>22</v>
      </c>
      <c r="I15" s="67" t="s">
        <v>33</v>
      </c>
      <c r="J15" s="67" t="s">
        <v>34</v>
      </c>
      <c r="P15" s="67" t="s">
        <v>33</v>
      </c>
      <c r="Q15" s="67" t="s">
        <v>34</v>
      </c>
      <c r="R15" s="42"/>
      <c r="X15" s="67" t="s">
        <v>33</v>
      </c>
      <c r="Y15" s="67" t="s">
        <v>34</v>
      </c>
      <c r="AE15" s="67" t="s">
        <v>33</v>
      </c>
      <c r="AF15" s="67" t="s">
        <v>34</v>
      </c>
      <c r="AG15" s="42"/>
      <c r="AQ15" s="68"/>
      <c r="AR15" s="69"/>
      <c r="AS15" s="67" t="s">
        <v>35</v>
      </c>
      <c r="AT15" s="78" t="s">
        <v>36</v>
      </c>
      <c r="AU15" s="42"/>
      <c r="AW15" s="70"/>
      <c r="AX15" s="70"/>
      <c r="AY15" s="70"/>
      <c r="AZ15" s="70"/>
      <c r="BA15" s="70"/>
      <c r="BB15" s="70"/>
      <c r="BC15" s="71"/>
      <c r="BD15" s="68"/>
      <c r="BE15" s="68"/>
      <c r="BF15" s="68"/>
      <c r="BG15" s="69"/>
      <c r="BH15" s="69"/>
      <c r="BI15" s="67" t="s">
        <v>35</v>
      </c>
      <c r="BJ15" s="67" t="s">
        <v>36</v>
      </c>
      <c r="BT15" s="68"/>
      <c r="BU15" s="69"/>
      <c r="BV15" s="67" t="s">
        <v>35</v>
      </c>
      <c r="BW15" s="67" t="s">
        <v>36</v>
      </c>
      <c r="BX15" s="42"/>
      <c r="BZ15" s="70"/>
      <c r="CA15" s="70"/>
      <c r="CB15" s="70"/>
      <c r="CC15" s="70"/>
      <c r="CD15" s="70"/>
      <c r="CE15" s="70"/>
      <c r="CF15" s="71"/>
      <c r="CG15" s="68"/>
      <c r="CH15" s="68"/>
      <c r="CI15" s="68"/>
      <c r="CJ15" s="69"/>
      <c r="CK15" s="69"/>
      <c r="CL15" s="67" t="s">
        <v>35</v>
      </c>
      <c r="CM15" s="67" t="s">
        <v>36</v>
      </c>
    </row>
    <row r="16" spans="1:91" ht="35.25" customHeight="1" x14ac:dyDescent="0.25">
      <c r="I16" s="69" t="e">
        <f>IF(SUM(COUNTIF(#REF!, "finished"), COUNTIF(#REF!, "planned")) &gt; 0,((SUMIF(#REF!,"finished",(F6:F14))+SUMIF(#REF!,"planned",(F6:F14)))/(SUMIF(#REF!,"finished",(E6:E14))+SUMIF(#REF!,"planned",(E6:E14)))), 0)</f>
        <v>#REF!</v>
      </c>
      <c r="J16" s="69" t="e">
        <f>IF(SUM(COUNTIF(#REF!, "finished"), COUNTIF(#REF!, "planned")) &gt; 0,((SUMIF(#REF!,"finished",(G6:G14))+SUMIF(#REF!,"planned",(G6:G14)))/(SUMIF(#REF!,"finished",(E6:E14))+SUMIF(#REF!,"planned",(E6:E14)))), 0)</f>
        <v>#REF!</v>
      </c>
      <c r="P16" s="69">
        <f>IF(SUM(COUNTIF(R6:R14, "finished"), COUNTIF(R6:R14, "planned")) &gt; 0,((SUMIF(R6:R14,"finished",(N6:N14))+SUMIF(R6:R14,"planned",(N6:N14)))/(SUMIF(R6:R14,"finished",(M6:M14))+SUMIF(R6:R14,"planned",(M6:M14)))), 0)</f>
        <v>0</v>
      </c>
      <c r="Q16" s="69">
        <f>IF(SUM(COUNTIF(R6:R14, "finished"), COUNTIF(R6:R14, "planned")) &gt; 0,((SUMIF(R6:R14,"finished",(O6:O14))+SUMIF(R6:R14,"planned",(O6:O14)))/(SUMIF(R6:R14,"finished",(M6:M14))+SUMIF(R6:R14,"planned",(M6:M14)))), 0)</f>
        <v>0</v>
      </c>
      <c r="X16" s="69" t="e">
        <f>IF(SUM(COUNTIF(#REF!, "finished"), COUNTIF(#REF!, "planned")) &gt; 0,((SUMIF(#REF!,"finished",(U6:U14))+SUMIF(#REF!,"planned",(U6:U14)))/(SUMIF(#REF!,"finished",(T6:T14))+SUMIF(#REF!,"planned",(T6:T14)))), 0)</f>
        <v>#REF!</v>
      </c>
      <c r="Y16" s="69" t="e">
        <f>IF(SUM(COUNTIF(#REF!, "finished"), COUNTIF(#REF!, "planned")) &gt; 0,((SUMIF(#REF!,"finished",(V6:V14))+SUMIF(#REF!,"planned",(V6:V14)))/(SUMIF(#REF!,"finished",(T6:T14))+SUMIF(#REF!,"planned",(T6:T14)))), 0)</f>
        <v>#REF!</v>
      </c>
      <c r="AE16" s="69">
        <f>IF(SUM(COUNTIF(AG6:AG14, "finished"), COUNTIF(AG6:AG14, "planned")) &gt; 0,((SUMIF(AG6:AG14,"finished",(AC6:AC14))+SUMIF(AG6:AG14,"planned",(AC6:AC14)))/(SUMIF(AG6:AG14,"finished",(AB6:AB14))+SUMIF(AG6:AG14,"planned",(AB6:AB14)))), 0)</f>
        <v>0</v>
      </c>
      <c r="AF16" s="69">
        <f>IF(SUM(COUNTIF(AG6:AG14, "finished"), COUNTIF(AG6:AG14, "planned")) &gt; 0,((SUMIF(AG6:AG14,"finished",(AD6:AD14))+SUMIF(AG6:AG14,"planned",(AD6:AD14)))/(SUMIF(AG6:AG14,"finished",(AB6:AB14))+SUMIF(AG6:AG14,"planned",(AB6:AB14)))), 0)</f>
        <v>0</v>
      </c>
      <c r="AQ16" s="68"/>
      <c r="AR16" s="69"/>
      <c r="AS16" s="69">
        <f>IF(SUM(COUNTIF(AU6:AU14, "finished"), COUNTIF(AU6:AU14, "planned")) &gt; 0,((SUMIF(AU6:AU14,"finished",(AK6:AK14))+SUMIF(AU6:AU14,"planned",(AK6:AK14)))/(SUMIF(AU6:AU14,"finished",(AJ6:AJ14))+SUMIF(AU6:AU14,"planned",(AJ6:AJ14)))), 0)</f>
        <v>0.1</v>
      </c>
      <c r="AT16" s="69">
        <f>IF(SUM(COUNTIF(AU6:AU14, "finished"), COUNTIF(AU6:AU14, "planned")) &gt; 0,((SUMIF(AU6:AU14,"finished",(AL6:AL14))+SUMIF(AU6:AU14,"planned",(AL6:AL14)))/(SUMIF(AU6:AU14,"finished",(AJ6:AJ14))+SUMIF(AU6:AU14,"planned",(AJ6:AJ14)))), 0)</f>
        <v>0.1</v>
      </c>
      <c r="BD16" s="68"/>
      <c r="BE16" s="68"/>
      <c r="BG16" s="69"/>
      <c r="BI16" s="69" t="e">
        <f>IF(SUM(COUNTIF(#REF!, "finished"), COUNTIF(#REF!, "planned")) &gt; 0,((SUMIF(#REF!,"finished",(AY6:AY14))+SUMIF(#REF!,"planned",(AY6:AY14)))/(SUMIF(#REF!,"finished",(AX6:AX14))+SUMIF(#REF!,"planned",(AX6:AX14)))), 0)</f>
        <v>#REF!</v>
      </c>
      <c r="BJ16" s="69" t="e">
        <f>IF(SUM(COUNTIF(#REF!, "finished"), COUNTIF(#REF!, "planned")) &gt; 0,((SUMIF(#REF!,"finished",(AZ6:AZ14))+SUMIF(#REF!,"planned",(AZ6:AZ14)))/(SUMIF(#REF!,"finished",(AX6:AX14))+SUMIF(#REF!,"planned",(AX6:AX14)))), 0)</f>
        <v>#REF!</v>
      </c>
      <c r="BT16" s="68"/>
      <c r="BU16" s="69"/>
      <c r="BV16" s="69">
        <f>IF(SUM(COUNTIF(BX6:BX14, "finished"), COUNTIF(BX6:BX14, "planned")) &gt; 0,((SUMIF(BX6:BX14,"finished",(BN6:BN14))+SUMIF(BX6:BX14,"planned",(BN6:BN14)))/(SUMIF(BX6:BX14,"finished",(BM6:BM14))+SUMIF(BX6:BX14,"planned",(BM6:BM14)))), 0)</f>
        <v>0.1</v>
      </c>
      <c r="BW16" s="69">
        <f>IF(SUM(COUNTIF(BX6:BX14, "finished"), COUNTIF(BX6:BX14, "planned")) &gt; 0,((SUMIF(BX6:BX14,"finished",(BO6:BO14))+SUMIF(BX6:BX14,"planned",(BO6:BO14)))/(SUMIF(BX6:BX14,"finished",(BM6:BM14))+SUMIF(BX6:BX14,"planned",(BM6:BM14)))), 0)</f>
        <v>0.1</v>
      </c>
      <c r="CG16" s="68"/>
      <c r="CH16" s="68"/>
      <c r="CJ16" s="69"/>
      <c r="CK16" s="69"/>
      <c r="CL16" s="69" t="e">
        <f>IF(SUM(COUNTIF(#REF!, "finished"), COUNTIF(#REF!, "planned")) &gt; 0,((SUMIF(#REF!,"finished",(CB6:CB14))+SUMIF(#REF!,"planned",(CB6:CB14)))/(SUMIF(#REF!,"finished",(CA6:CA14))+SUMIF(#REF!,"planned",(CA6:CA14)))), 0)</f>
        <v>#REF!</v>
      </c>
      <c r="CM16" s="69" t="e">
        <f>IF(SUM(COUNTIF(#REF!, "finished"), COUNTIF(#REF!, "planned")) &gt; 0,((SUMIF(#REF!,"finished",(CC6:CC14))+SUMIF(#REF!,"planned",(CC6:CC14)))/(SUMIF(#REF!,"finished",(CA6:CA14))+SUMIF(#REF!,"planned",(CA6:CA14)))), 0)</f>
        <v>#REF!</v>
      </c>
    </row>
  </sheetData>
  <mergeCells count="22">
    <mergeCell ref="AH3:AT4"/>
    <mergeCell ref="AV3:BJ4"/>
    <mergeCell ref="BK3:BW4"/>
    <mergeCell ref="BY3:CM4"/>
    <mergeCell ref="AU3:AU4"/>
    <mergeCell ref="BX3:BX4"/>
    <mergeCell ref="AG3:AG4"/>
    <mergeCell ref="A1:B4"/>
    <mergeCell ref="Z2:AF2"/>
    <mergeCell ref="K2:Q2"/>
    <mergeCell ref="K1:CM1"/>
    <mergeCell ref="R3:R4"/>
    <mergeCell ref="BY2:CM2"/>
    <mergeCell ref="AH2:AT2"/>
    <mergeCell ref="BK2:BW2"/>
    <mergeCell ref="AV2:BJ2"/>
    <mergeCell ref="Z3:AF4"/>
    <mergeCell ref="C2:J2"/>
    <mergeCell ref="S2:Y2"/>
    <mergeCell ref="C3:J4"/>
    <mergeCell ref="K3:Q4"/>
    <mergeCell ref="S3:Y4"/>
  </mergeCells>
  <conditionalFormatting sqref="R6:R14 BX6:BX14 AU6:AU14 AG6:AG14">
    <cfRule type="cellIs" dxfId="7" priority="605" operator="equal">
      <formula>"tailored"</formula>
    </cfRule>
    <cfRule type="cellIs" dxfId="6" priority="606" operator="equal">
      <formula>"finished"</formula>
    </cfRule>
    <cfRule type="cellIs" dxfId="5" priority="607" operator="equal">
      <formula>"planned"</formula>
    </cfRule>
    <cfRule type="cellIs" dxfId="4" priority="608" operator="equal">
      <formula>"not required"</formula>
    </cfRule>
    <cfRule type="cellIs" dxfId="3" priority="609" operator="equal">
      <formula>""</formula>
    </cfRule>
  </conditionalFormatting>
  <conditionalFormatting sqref="X6:Y14 CL6:CM14 CD6:CE14 BP6:BQ14 BI6:BJ14 BA6:BB14 AM6:AN14 AE6:AF14 P6:Q14 I6:J14 AS6:AT14 BV6:BW14">
    <cfRule type="cellIs" dxfId="2" priority="599" operator="lessThan">
      <formula>0</formula>
    </cfRule>
    <cfRule type="cellIs" dxfId="1" priority="600" operator="greaterThan">
      <formula>0</formula>
    </cfRule>
    <cfRule type="cellIs" dxfId="0" priority="601" operator="equal">
      <formula>0</formula>
    </cfRule>
  </conditionalFormatting>
  <dataValidations count="1">
    <dataValidation type="list" allowBlank="1" showInputMessage="1" showErrorMessage="1" sqref="AA6:AA14 L6:L14 D6:D14 BX6:BX14 AU6:AU14 R6:R14 AG6:AG14" xr:uid="{00000000-0002-0000-0400-000000000000}">
      <formula1>#REF!</formula1>
    </dataValidation>
  </dataValidations>
  <pageMargins left="0.70866141732283472" right="0.70866141732283472" top="0.78740157480314965" bottom="0.78740157480314965" header="0.31496062992125984" footer="0.31496062992125984"/>
  <pageSetup paperSize="9" scale="24" orientation="landscape" r:id="rId1"/>
  <headerFooter>
    <oddHeader>&amp;L&amp;"Arial"&amp;8&amp;K000000INTERNAL&amp;1#</oddHeader>
  </headerFooter>
  <legacyDrawing r:id="rId2"/>
</worksheet>
</file>

<file path=docMetadata/LabelInfo.xml><?xml version="1.0" encoding="utf-8"?>
<clbl:labelList xmlns:clbl="http://schemas.microsoft.com/office/2020/mipLabelMetadata">
  <clbl:label id="{b1c9b508-7c6e-42bd-bedf-808292653d6c}" enabled="1" method="Standard" siteId="{2882be50-2012-4d88-ac86-544124e120c8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Status_primary</vt:lpstr>
      <vt:lpstr>Status_primary!Print_Area</vt:lpstr>
    </vt:vector>
  </TitlesOfParts>
  <Company>AUDI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Herrmannsdoerfer, Markus, Dr.rer.nat (I/EF-8)</dc:creator>
  <cp:lastModifiedBy>Falamas Ovidiu</cp:lastModifiedBy>
  <cp:lastPrinted>2023-03-17T07:13:38Z</cp:lastPrinted>
  <dcterms:created xsi:type="dcterms:W3CDTF">2008-04-16T07:43:33Z</dcterms:created>
  <dcterms:modified xsi:type="dcterms:W3CDTF">2025-04-29T04:28:27Z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c9b508-7c6e-42bd-bedf-808292653d6c_Enabled">
    <vt:lpwstr>true</vt:lpwstr>
  </property>
  <property fmtid="{D5CDD505-2E9C-101B-9397-08002B2CF9AE}" pid="3" name="MSIP_Label_b1c9b508-7c6e-42bd-bedf-808292653d6c_SetDate">
    <vt:lpwstr>2023-07-19T11:03:06Z</vt:lpwstr>
  </property>
  <property fmtid="{D5CDD505-2E9C-101B-9397-08002B2CF9AE}" pid="4" name="MSIP_Label_b1c9b508-7c6e-42bd-bedf-808292653d6c_Method">
    <vt:lpwstr>Standard</vt:lpwstr>
  </property>
  <property fmtid="{D5CDD505-2E9C-101B-9397-08002B2CF9AE}" pid="5" name="MSIP_Label_b1c9b508-7c6e-42bd-bedf-808292653d6c_Name">
    <vt:lpwstr>b1c9b508-7c6e-42bd-bedf-808292653d6c</vt:lpwstr>
  </property>
  <property fmtid="{D5CDD505-2E9C-101B-9397-08002B2CF9AE}" pid="6" name="MSIP_Label_b1c9b508-7c6e-42bd-bedf-808292653d6c_SiteId">
    <vt:lpwstr>2882be50-2012-4d88-ac86-544124e120c8</vt:lpwstr>
  </property>
  <property fmtid="{D5CDD505-2E9C-101B-9397-08002B2CF9AE}" pid="7" name="MSIP_Label_b1c9b508-7c6e-42bd-bedf-808292653d6c_ActionId">
    <vt:lpwstr>188e39ab-efc2-4631-9fc0-f0a26c65b1c3</vt:lpwstr>
  </property>
  <property fmtid="{D5CDD505-2E9C-101B-9397-08002B2CF9AE}" pid="8" name="MSIP_Label_b1c9b508-7c6e-42bd-bedf-808292653d6c_ContentBits">
    <vt:lpwstr>3</vt:lpwstr>
  </property>
</Properties>
</file>